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87a8ec8c6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仪表盘" sheetId="1" r:id="R02170d8e20ed4d09"/>
    <x:sheet xmlns:r="http://schemas.openxmlformats.org/officeDocument/2006/relationships" name="今日新增岗位" sheetId="2" r:id="R21cd1cf7dab948cd"/>
    <x:sheet xmlns:r="http://schemas.openxmlformats.org/officeDocument/2006/relationships" name="公司池" sheetId="3" r:id="Rb073a783c2d74f0b"/>
    <x:sheet xmlns:r="http://schemas.openxmlformats.org/officeDocument/2006/relationships" name="重点批次" sheetId="4" r:id="Rcb5232de9975438d"/>
    <x:sheet xmlns:r="http://schemas.openxmlformats.org/officeDocument/2006/relationships" name="数据源" sheetId="5" r:id="R6e33098a54a04555"/>
    <x:sheet xmlns:r="http://schemas.openxmlformats.org/officeDocument/2006/relationships" name="原始Excel" sheetId="6" r:id="Rad51a8dad80840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b/>
      <x:sz val="20"/>
      <x:color rgb="FF0F2742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0E7490"/>
      </x:patternFill>
    </x:fill>
    <x:fill>
      <x:patternFill patternType="solid">
        <x:fgColor rgb="FFFFFFFF"/>
      </x:patternFill>
    </x:fill>
  </x:fills>
  <x:borders count="18">
    <x:border/>
    <x:border/>
    <x:border>
      <x:left style="thin">
        <x:color rgb="FF0E7490"/>
      </x:left>
      <x:top style="thin">
        <x:color rgb="FF0E7490"/>
      </x:top>
    </x:border>
    <x:border>
      <x:right style="thin">
        <x:color rgb="FF0E7490"/>
      </x:right>
      <x:top style="thin">
        <x:color rgb="FF0E7490"/>
      </x:top>
    </x:border>
    <x:border>
      <x:left style="thin">
        <x:color rgb="FF0E7490"/>
      </x:left>
      <x:bottom style="thin">
        <x:color rgb="FF0E7490"/>
      </x:bottom>
    </x:border>
    <x:border>
      <x:right style="thin">
        <x:color rgb="FF0E7490"/>
      </x:right>
      <x:bottom style="thin">
        <x:color rgb="FF0E7490"/>
      </x:bottom>
    </x:border>
    <x:border>
      <x:left style="thin">
        <x:color rgb="FF0E7490"/>
      </x:left>
      <x:top style="thin">
        <x:color rgb="FF0E7490"/>
      </x:top>
    </x:border>
    <x:border>
      <x:right style="thin">
        <x:color rgb="FF0E7490"/>
      </x:right>
      <x:top style="thin">
        <x:color rgb="FF0E7490"/>
      </x:top>
    </x:border>
    <x:border>
      <x:left style="thin">
        <x:color rgb="FF0E7490"/>
      </x:left>
      <x:bottom style="thin">
        <x:color rgb="FF0E7490"/>
      </x:bottom>
    </x:border>
    <x:border>
      <x:right style="thin">
        <x:color rgb="FF0E7490"/>
      </x:right>
      <x:bottom style="thin">
        <x:color rgb="FF0E7490"/>
      </x:bottom>
    </x:border>
    <x:border>
      <x:bottom style="hair">
        <x:color rgb="FFD9E1E8"/>
      </x:bottom>
    </x:border>
    <x:border>
      <x:bottom style="hair">
        <x:color rgb="FFD9E1E8"/>
      </x:bottom>
    </x:border>
    <x:border>
      <x:bottom style="thin">
        <x:color rgb="FF0F2742"/>
      </x:bottom>
    </x:border>
    <x:border>
      <x:bottom style="thin">
        <x:color rgb="FF0F2742"/>
      </x:bottom>
    </x:border>
    <x:border>
      <x:right style="hair">
        <x:color rgb="FFD9E1E8"/>
      </x:right>
    </x:border>
    <x:border>
      <x:right style="hair">
        <x:color rgb="FFD9E1E8"/>
      </x:right>
      <x:bottom style="hair">
        <x:color rgb="FFD9E1E8"/>
      </x:bottom>
    </x:border>
    <x:border>
      <x:right style="hair">
        <x:color rgb="FFD9E1E8"/>
      </x:right>
    </x:border>
    <x:border>
      <x:right style="hair">
        <x:color rgb="FFD9E1E8"/>
      </x:right>
      <x:bottom style="hair">
        <x:color rgb="FFD9E1E8"/>
      </x:bottom>
    </x:border>
  </x:borders>
  <x:cellStyleXfs count="1">
    <x:xf numFmtId="0" fontId="0" fillId="0" borderId="0"/>
  </x:cellStyleXfs>
  <x:cellXfs count="1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11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/>
    <x:xf numFmtId="0" fontId="3" fillId="6" borderId="12" xfId="0" applyNumberFormat="1" applyFont="1" applyFill="1" applyBorder="1"/>
    <x:xf numFmtId="0" fontId="3" fillId="6" borderId="12" xfId="0" applyNumberFormat="1" applyFont="1" applyFill="1" applyBorder="1" applyAlignment="1">
      <x:alignment wrapText="1"/>
    </x:xf>
    <x:xf numFmtId="0" fontId="3" fillId="6" borderId="12" xfId="0" applyNumberFormat="1" applyFont="1" applyFill="1" applyBorder="1" applyAlignment="1">
      <x:alignment horizontal="center" wrapText="1"/>
    </x:xf>
    <x:xf numFmtId="0" fontId="3" fillId="6" borderId="12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/>
    <x:xf numFmtId="0" fontId="3" fillId="6" borderId="13" xfId="0" applyNumberFormat="1" applyFont="1" applyFill="1" applyBorder="1"/>
    <x:xf numFmtId="0" fontId="3" fillId="6" borderId="13" xfId="0" applyNumberFormat="1" applyFont="1" applyFill="1" applyBorder="1" applyAlignment="1">
      <x:alignment wrapText="1"/>
    </x:xf>
    <x:xf numFmtId="0" fontId="3" fillId="6" borderId="13" xfId="0" applyNumberFormat="1" applyFont="1" applyFill="1" applyBorder="1" applyAlignment="1">
      <x:alignment horizontal="center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10" xfId="0" applyNumberFormat="1" applyFont="1" applyFill="1" applyBorder="1"/>
    <x:xf numFmtId="0" fontId="0" fillId="0" borderId="15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1" xfId="0" applyNumberFormat="1" applyFont="1" applyFill="1" applyBorder="1"/>
    <x:xf numFmtId="0" fontId="0" fillId="0" borderId="17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F2937"/>
      </x:font>
      <x:fill>
        <x:patternFill patternType="solid">
          <x:bgColor rgb="FFF4F6F8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f4ea5d9724532" /><Relationship Type="http://schemas.openxmlformats.org/officeDocument/2006/relationships/theme" Target="/xl/theme/theme1.xml" Id="R36be1856299a47d6" /><Relationship Type="http://schemas.openxmlformats.org/officeDocument/2006/relationships/sharedStrings" Target="/xl/sharedStrings.xml" Id="Rf3d1b3e133f143af" /><Relationship Type="http://schemas.openxmlformats.org/officeDocument/2006/relationships/worksheet" Target="/xl/worksheets/sheet1.xml" Id="R02170d8e20ed4d09" /><Relationship Type="http://schemas.openxmlformats.org/officeDocument/2006/relationships/worksheet" Target="/xl/worksheets/sheet2.xml" Id="R21cd1cf7dab948cd" /><Relationship Type="http://schemas.openxmlformats.org/officeDocument/2006/relationships/worksheet" Target="/xl/worksheets/sheet3.xml" Id="Rb073a783c2d74f0b" /><Relationship Type="http://schemas.openxmlformats.org/officeDocument/2006/relationships/worksheet" Target="/xl/worksheets/sheet4.xml" Id="Rcb5232de9975438d" /><Relationship Type="http://schemas.openxmlformats.org/officeDocument/2006/relationships/worksheet" Target="/xl/worksheets/sheet5.xml" Id="R6e33098a54a04555" /><Relationship Type="http://schemas.openxmlformats.org/officeDocument/2006/relationships/worksheet" Target="/xl/worksheets/sheet6.xml" Id="Rad51a8dad80840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b6647bfb264a8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公司池优先级分布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公司数</c:v>
          </c:tx>
          <c:cat>
            <c:strRef>
              <c:f>'仪表盘'!$J$4:$J$7</c:f>
              <c:strCache>
                <c:ptCount val="0"/>
              </c:strCache>
            </c:strRef>
          </c:cat>
          <c:val>
            <c:numRef>
              <c:f>'仪表盘'!$K$4:$K$7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b6647bfb264a8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odayNewJobsTable" displayName="TodayNewJobsTable" ref="A3:P11" headerRowCount="1">
  <x:tableColumns count="16">
    <x:tableColumn id="1" name="发现日期"/>
    <x:tableColumn id="2" name="公司"/>
    <x:tableColumn id="3" name="新职位/招聘批次"/>
    <x:tableColumn id="4" name="地点"/>
    <x:tableColumn id="5" name="批次"/>
    <x:tableColumn id="6" name="届别"/>
    <x:tableColumn id="7" name="方向"/>
    <x:tableColumn id="8" name="截止日期"/>
    <x:tableColumn id="9" name="匹配分"/>
    <x:tableColumn id="10" name="今日新增"/>
    <x:tableColumn id="11" name="来源"/>
    <x:tableColumn id="12" name="来源级别"/>
    <x:tableColumn id="13" name="原始链接"/>
    <x:tableColumn id="14" name="核验状态"/>
    <x:tableColumn id="15" name="投递状态"/>
    <x:tableColumn id="16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CompanyPoolTable" displayName="CompanyPoolTable" ref="A3:P82" headerRowCount="1">
  <x:tableColumns count="16">
    <x:tableColumn id="1" name="ID"/>
    <x:tableColumn id="2" name="公司"/>
    <x:tableColumn id="3" name="English"/>
    <x:tableColumn id="4" name="类别"/>
    <x:tableColumn id="5" name="子类别"/>
    <x:tableColumn id="6" name="城市"/>
    <x:tableColumn id="7" name="类型"/>
    <x:tableColumn id="8" name="优先级"/>
    <x:tableColumn id="9" name="目标方向"/>
    <x:tableColumn id="10" name="官方招聘页"/>
    <x:tableColumn id="11" name="监控渠道"/>
    <x:tableColumn id="12" name="原Excel备注"/>
    <x:tableColumn id="13" name="公司池来源"/>
    <x:tableColumn id="14" name="扫描状态"/>
    <x:tableColumn id="15" name="最近核验"/>
    <x:tableColumn id="16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KeyBatchesTable" displayName="KeyBatchesTable" ref="A3:K11" headerRowCount="1">
  <x:tableColumns count="11">
    <x:tableColumn id="1" name="公司/计划"/>
    <x:tableColumn id="2" name="招聘事件"/>
    <x:tableColumn id="3" name="地点"/>
    <x:tableColumn id="4" name="届别"/>
    <x:tableColumn id="5" name="批次"/>
    <x:tableColumn id="6" name="发布日期"/>
    <x:tableColumn id="7" name="截止日期"/>
    <x:tableColumn id="8" name="当前状态"/>
    <x:tableColumn id="9" name="信息性质"/>
    <x:tableColumn id="10" name="来源URL"/>
    <x:tableColumn id="11" name="监控动作"/>
  </x:tableColumns>
  <x:tableStyleInfo name="TableStyleMedium2" showRowStripes="1"/>
</x:table>
</file>

<file path=xl/tables/table4.xml><?xml version="1.0" encoding="utf-8"?>
<x:table xmlns:x="http://schemas.openxmlformats.org/spreadsheetml/2006/main" id="4" name="DataSourcesTable" displayName="DataSourcesTable" ref="A3:I15" headerRowCount="1">
  <x:tableColumns count="9">
    <x:tableColumn id="1" name="数据源"/>
    <x:tableColumn id="2" name="类型"/>
    <x:tableColumn id="3" name="级别"/>
    <x:tableColumn id="4" name="自动化"/>
    <x:tableColumn id="5" name="频率"/>
    <x:tableColumn id="6" name="覆盖范围"/>
    <x:tableColumn id="7" name="局限"/>
    <x:tableColumn id="8" name="当前状态"/>
    <x:tableColumn id="9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5c2bf68a14447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a061a57c0d48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daf04f2d894f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f239ab744147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7b8c14898e4c52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10" max="10" width="12" hidden="0" customWidth="1"/>
    <x:col min="11" max="11" width="12" hidden="0" customWidth="1"/>
  </x:cols>
  <x:sheetData>
    <x:row r="1" ht="34" customHeight="1">
      <x:c r="A1" s="5" t="str">
        <x:v>沪港秋招情报｜每日公司与新增岗位仪表盘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截至 2026-07-31｜公司池由原 Excel 扩展至支付、清算/金融基础设施、香港 FinTech 与上海国资国企；新增职位需回官方来源核验。</x:v>
      </x:c>
      <x:c r="B2" s="12"/>
      <x:c r="C2" s="12"/>
      <x:c r="D2" s="12"/>
      <x:c r="E2" s="12"/>
      <x:c r="F2" s="12"/>
      <x:c r="G2" s="12"/>
      <x:c r="H2" s="12"/>
    </x:row>
    <x:row r="3">
      <x:c r="J3" s="82" t="str">
        <x:v>优先级</x:v>
      </x:c>
      <x:c r="K3" s="82" t="str">
        <x:v>公司数</x:v>
      </x:c>
    </x:row>
    <x:row r="4">
      <x:c r="A4" s="19" t="str">
        <x:v>监控公司数</x:v>
      </x:c>
      <x:c r="B4" s="19"/>
      <x:c r="C4" s="19" t="str">
        <x:v>P0 核心公司</x:v>
      </x:c>
      <x:c r="D4" s="19"/>
      <x:c r="E4" s="19" t="str">
        <x:v>支付/基础设施公司</x:v>
      </x:c>
      <x:c r="F4" s="19"/>
      <x:c r="G4" s="19" t="str">
        <x:v>当前岗位/批次线索</x:v>
      </x:c>
      <x:c r="H4" s="19"/>
      <x:c r="J4" s="115" t="str">
        <x:v>P0</x:v>
      </x:c>
      <x:c r="K4" s="116" t="n">
        <x:v>27</x:v>
      </x:c>
    </x:row>
    <x:row r="5">
      <x:c r="A5" s="34" t="n">
        <x:f>COUNTA('公司池'!B4:B200)</x:f>
        <x:v>79</x:v>
      </x:c>
      <x:c r="B5" s="35"/>
      <x:c r="C5" s="34" t="n">
        <x:f>COUNTIF('公司池'!H4:H200,"P0")</x:f>
        <x:v>27</x:v>
      </x:c>
      <x:c r="D5" s="35"/>
      <x:c r="E5" s="34" t="n">
        <x:f>COUNTIF('公司池'!D4:D200,"支付/FinTech")+COUNTIF('公司池'!D4:D200,"全球支付/FinTech")+COUNTIF('公司池'!D4:D200,"中国支付/FinTech")+COUNTIF('公司池'!D4:D200,"金融基础设施")+COUNTIF('公司池'!D4:D200,"金融基础设施/上海国企")+COUNTIF('公司池'!D4:D200,"数字资产/支付")</x:f>
        <x:v>69</x:v>
      </x:c>
      <x:c r="F5" s="35"/>
      <x:c r="G5" s="34" t="n">
        <x:f>COUNTA('今日新增岗位'!B4:B200)</x:f>
        <x:v>8</x:v>
      </x:c>
      <x:c r="H5" s="35"/>
      <x:c r="J5" s="115" t="str">
        <x:v>P1</x:v>
      </x:c>
      <x:c r="K5" s="116" t="n">
        <x:v>47</x:v>
      </x:c>
    </x:row>
    <x:row r="6">
      <x:c r="A6" s="36"/>
      <x:c r="B6" s="37"/>
      <x:c r="C6" s="36"/>
      <x:c r="D6" s="37"/>
      <x:c r="E6" s="36"/>
      <x:c r="F6" s="37"/>
      <x:c r="G6" s="36"/>
      <x:c r="H6" s="37"/>
      <x:c r="J6" s="115" t="str">
        <x:v>P2</x:v>
      </x:c>
      <x:c r="K6" s="116" t="n">
        <x:v>5</x:v>
      </x:c>
    </x:row>
    <x:row r="7">
      <x:c r="J7" s="117" t="str">
        <x:v>P3</x:v>
      </x:c>
      <x:c r="K7" s="118" t="n">
        <x:v>0</x:v>
      </x:c>
    </x:row>
    <x:row r="8">
      <x:c r="A8" s="19" t="str">
        <x:v>高匹配线索（≥70）</x:v>
      </x:c>
      <x:c r="B8" s="19"/>
      <x:c r="C8" s="19" t="str">
        <x:v>上海线索</x:v>
      </x:c>
      <x:c r="D8" s="19"/>
      <x:c r="E8" s="19" t="str">
        <x:v>香港线索</x:v>
      </x:c>
      <x:c r="F8" s="19"/>
      <x:c r="G8" s="19" t="str">
        <x:v>提前批线索</x:v>
      </x:c>
      <x:c r="H8" s="19"/>
    </x:row>
    <x:row r="9">
      <x:c r="A9" s="34" t="n">
        <x:f>COUNTIF('今日新增岗位'!I4:I200,"&gt;=70")</x:f>
        <x:v>3</x:v>
      </x:c>
      <x:c r="B9" s="35"/>
      <x:c r="C9" s="34" t="n">
        <x:f>COUNTIF('今日新增岗位'!D4:D200,"上海")</x:f>
        <x:v>7</x:v>
      </x:c>
      <x:c r="D9" s="35"/>
      <x:c r="E9" s="34" t="n">
        <x:f>COUNTIF('今日新增岗位'!D4:D200,"香港")</x:f>
        <x:v>1</x:v>
      </x:c>
      <x:c r="F9" s="35"/>
      <x:c r="G9" s="34" t="n">
        <x:f>COUNTIF('今日新增岗位'!E4:E200,"提前批")</x:f>
        <x:v>4</x:v>
      </x:c>
      <x:c r="H9" s="35"/>
    </x:row>
    <x:row r="10">
      <x:c r="A10" s="36"/>
      <x:c r="B10" s="37"/>
      <x:c r="C10" s="36"/>
      <x:c r="D10" s="37"/>
      <x:c r="E10" s="36"/>
      <x:c r="F10" s="37"/>
      <x:c r="G10" s="36"/>
      <x:c r="H10" s="37"/>
    </x:row>
    <x:row r="12">
      <x:c r="A12" s="53" t="str">
        <x:v>本轮改造后的使用规则</x:v>
      </x:c>
      <x:c r="B12" s="53"/>
      <x:c r="C12" s="53"/>
      <x:c r="D12" s="53"/>
      <x:c r="E12" s="53"/>
      <x:c r="F12" s="53"/>
      <x:c r="G12" s="53"/>
      <x:c r="H12" s="53"/>
    </x:row>
    <x:row r="13" ht="28" customHeight="1">
      <x:c r="A13" s="59" t="str">
        <x:v>1</x:v>
      </x:c>
      <x:c r="B13" s="69" t="str">
        <x:v>每日先看“今日新增岗位”，高匹配不等于已开放；截止日期、面向届别和经验要求必须核验。</x:v>
      </x:c>
      <x:c r="C13" s="69"/>
      <x:c r="D13" s="69"/>
      <x:c r="E13" s="69"/>
      <x:c r="F13" s="69"/>
      <x:c r="G13" s="69"/>
      <x:c r="H13" s="69"/>
    </x:row>
    <x:row r="14" ht="28" customHeight="1">
      <x:c r="A14" s="59" t="str">
        <x:v>2</x:v>
      </x:c>
      <x:c r="B14" s="69" t="str">
        <x:v>P0 优先：上海/香港的跨境支付、清算/金融基础设施、支付风控、AML/KYC、产品与数据分析。</x:v>
      </x:c>
      <x:c r="C14" s="69"/>
      <x:c r="D14" s="69"/>
      <x:c r="E14" s="69"/>
      <x:c r="F14" s="69"/>
      <x:c r="G14" s="69"/>
      <x:c r="H14" s="69"/>
    </x:row>
    <x:row r="15" ht="28" customHeight="1">
      <x:c r="A15" s="59" t="str">
        <x:v>3</x:v>
      </x:c>
      <x:c r="B15" s="69" t="str">
        <x:v>高级岗、量化、券商、公募基金、银行总行常规岗自动降权；WLB 优先于单纯薪资。</x:v>
      </x:c>
      <x:c r="C15" s="69"/>
      <x:c r="D15" s="69"/>
      <x:c r="E15" s="69"/>
      <x:c r="F15" s="69"/>
      <x:c r="G15" s="69"/>
      <x:c r="H15" s="69"/>
    </x:row>
    <x:row r="16" ht="28" customHeight="1">
      <x:c r="A16" s="59" t="str">
        <x:v>4</x:v>
      </x:c>
      <x:c r="B16" s="70" t="str">
        <x:v>公众号、小红书、LinkedIn、实习僧和搜索引擎只作为线索；最终以公司官网、ATS、上海国资委、国聘/24365为准。</x:v>
      </x:c>
      <x:c r="C16" s="70"/>
      <x:c r="D16" s="70"/>
      <x:c r="E16" s="70"/>
      <x:c r="F16" s="70"/>
      <x:c r="G16" s="70"/>
      <x:c r="H16" s="70"/>
    </x:row>
    <x:row r="18">
      <x:c r="A18" s="53" t="str">
        <x:v>当前需要优先处理</x:v>
      </x:c>
      <x:c r="B18" s="53"/>
      <x:c r="C18" s="53"/>
      <x:c r="D18" s="53"/>
      <x:c r="E18" s="53"/>
      <x:c r="F18" s="53"/>
      <x:c r="G18" s="53"/>
      <x:c r="H18" s="53"/>
    </x:row>
    <x:row r="19">
      <x:c r="A19" s="82" t="str">
        <x:v>事项</x:v>
      </x:c>
      <x:c r="B19" s="82"/>
      <x:c r="C19" s="82" t="str">
        <x:v>行动</x:v>
      </x:c>
      <x:c r="D19" s="82"/>
      <x:c r="E19" s="82" t="str">
        <x:v>截至/频率</x:v>
      </x:c>
      <x:c r="F19" s="82"/>
      <x:c r="G19" s="82" t="str">
        <x:v>说明</x:v>
      </x:c>
      <x:c r="H19" s="82"/>
    </x:row>
    <x:row r="20" ht="50" customHeight="1">
      <x:c r="A20" s="123" t="str">
        <x:v>字节跳动 2027 AI 产品经理早鸟</x:v>
      </x:c>
      <x:c r="B20" s="123"/>
      <x:c r="C20" s="124" t="str">
        <x:v>立即回官网核验并决定是否投递</x:v>
      </x:c>
      <x:c r="D20" s="123"/>
      <x:c r="E20" s="124" t="n">
        <x:v>46236</x:v>
      </x:c>
      <x:c r="F20" s="124"/>
      <x:c r="G20" s="123" t="str">
        <x:v>聚合线索显示临近截止，不能只依赖聚合页。</x:v>
      </x:c>
      <x:c r="H20" s="125"/>
    </x:row>
    <x:row r="21" ht="50" customHeight="1">
      <x:c r="A21" s="123" t="str">
        <x:v>拼多多 2027 提前批</x:v>
      </x:c>
      <x:c r="B21" s="123"/>
      <x:c r="C21" s="124" t="str">
        <x:v>核验具体 JD 并筛选合规/数据岗位</x:v>
      </x:c>
      <x:c r="D21" s="123"/>
      <x:c r="E21" s="124" t="n">
        <x:v>46257</x:v>
      </x:c>
      <x:c r="F21" s="124"/>
      <x:c r="G21" s="123" t="str">
        <x:v>批次仍在开放窗口内。</x:v>
      </x:c>
      <x:c r="H21" s="125"/>
    </x:row>
    <x:row r="22" ht="50" customHeight="1">
      <x:c r="A22" s="126" t="str">
        <x:v>上海国资国企 2027 集中校招</x:v>
      </x:c>
      <x:c r="B22" s="126"/>
      <x:c r="C22" s="127" t="str">
        <x:v>从 9 月起提高扫描频率</x:v>
      </x:c>
      <x:c r="D22" s="126"/>
      <x:c r="E22" s="127"/>
      <x:c r="F22" s="127"/>
      <x:c r="G22" s="126" t="str">
        <x:v>2026 届集中校招于 2025-09-19 启动；这里只作为历史监控窗口，不代表 2027 届日期已确定。</x:v>
      </x:c>
      <x:c r="H22" s="128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B8"/>
    <x:mergeCell ref="A9:B10"/>
    <x:mergeCell ref="C8:D8"/>
    <x:mergeCell ref="C9:D10"/>
    <x:mergeCell ref="E8:F8"/>
    <x:mergeCell ref="E9:F10"/>
    <x:mergeCell ref="G8:H8"/>
    <x:mergeCell ref="G9:H10"/>
    <x:mergeCell ref="A12:H12"/>
    <x:mergeCell ref="B13:H13"/>
    <x:mergeCell ref="B14:H14"/>
    <x:mergeCell ref="B15:H15"/>
    <x:mergeCell ref="B16:H16"/>
    <x:mergeCell ref="A18:H18"/>
    <x:mergeCell ref="A19:B19"/>
    <x:mergeCell ref="C19:D19"/>
    <x:mergeCell ref="E19:F19"/>
    <x:mergeCell ref="G19:H19"/>
    <x:mergeCell ref="A20:B20"/>
    <x:mergeCell ref="C20:D20"/>
    <x:mergeCell ref="E20:F20"/>
    <x:mergeCell ref="G20:H20"/>
    <x:mergeCell ref="A21:B21"/>
    <x:mergeCell ref="C21:D21"/>
    <x:mergeCell ref="E21:F21"/>
    <x:mergeCell ref="G21:H21"/>
    <x:mergeCell ref="A22:B22"/>
    <x:mergeCell ref="C22:D22"/>
    <x:mergeCell ref="E22:F22"/>
    <x:mergeCell ref="G22:H22"/>
  </x:mergeCells>
  <x:pageMargins left="0.7" right="0.7" top="0.75" bottom="0.75" header="0.3" footer="0.3"/>
  <x:drawing xmlns:r="http://schemas.openxmlformats.org/officeDocument/2006/relationships" r:id="R25c2bf68a144471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34" hidden="0" customWidth="1"/>
    <x:col min="4" max="4" width="11" hidden="0" customWidth="1"/>
    <x:col min="5" max="5" width="13" hidden="0" customWidth="1"/>
    <x:col min="6" max="6" width="11" hidden="0" customWidth="1"/>
    <x:col min="7" max="7" width="20" hidden="0" customWidth="1"/>
    <x:col min="8" max="8" width="12" hidden="0" customWidth="1"/>
    <x:col min="9" max="9" width="9" hidden="0" customWidth="1"/>
    <x:col min="10" max="10" width="10" hidden="0" customWidth="1"/>
    <x:col min="11" max="11" width="22" hidden="0" customWidth="1"/>
    <x:col min="12" max="12" width="11" hidden="0" customWidth="1"/>
    <x:col min="13" max="13" width="35" hidden="0" customWidth="1"/>
    <x:col min="14" max="14" width="34" hidden="0" customWidth="1"/>
    <x:col min="15" max="15" width="12" hidden="0" customWidth="1"/>
    <x:col min="16" max="16" width="26" hidden="0" customWidth="1"/>
  </x:cols>
  <x:sheetData>
    <x:row r="1" ht="22" customHeight="1">
      <x:c r="A1" s="5" t="str">
        <x:v>今日新增岗位/招聘批次（直接看公司与新职位）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12" t="str">
        <x:v>当前 8 条为 2026-07-31 的已核验/待核验种子线索；首次运行均会标记为新增，后续由 state.json 去重，只展示真正新增。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3">
      <x:c r="A3" s="82" t="str">
        <x:v>发现日期</x:v>
      </x:c>
      <x:c r="B3" s="82" t="str">
        <x:v>公司</x:v>
      </x:c>
      <x:c r="C3" s="82" t="str">
        <x:v>新职位/招聘批次</x:v>
      </x:c>
      <x:c r="D3" s="82" t="str">
        <x:v>地点</x:v>
      </x:c>
      <x:c r="E3" s="82" t="str">
        <x:v>批次</x:v>
      </x:c>
      <x:c r="F3" s="82" t="str">
        <x:v>届别</x:v>
      </x:c>
      <x:c r="G3" s="82" t="str">
        <x:v>方向</x:v>
      </x:c>
      <x:c r="H3" s="82" t="str">
        <x:v>截止日期</x:v>
      </x:c>
      <x:c r="I3" s="82" t="str">
        <x:v>匹配分</x:v>
      </x:c>
      <x:c r="J3" s="82" t="str">
        <x:v>今日新增</x:v>
      </x:c>
      <x:c r="K3" s="82" t="str">
        <x:v>来源</x:v>
      </x:c>
      <x:c r="L3" s="82" t="str">
        <x:v>来源级别</x:v>
      </x:c>
      <x:c r="M3" s="82" t="str">
        <x:v>原始链接</x:v>
      </x:c>
      <x:c r="N3" s="82" t="str">
        <x:v>核验状态</x:v>
      </x:c>
      <x:c r="O3" s="82" t="str">
        <x:v>投递状态</x:v>
      </x:c>
      <x:c r="P3" s="82" t="str">
        <x:v>备注</x:v>
      </x:c>
    </x:row>
    <x:row r="4">
      <x:c r="A4" s="111" t="n">
        <x:v>46234</x:v>
      </x:c>
      <x:c r="B4" s="96" t="str">
        <x:v>上海农商银行</x:v>
      </x:c>
      <x:c r="C4" s="96" t="str">
        <x:v>2027届暑期实习生招聘</x:v>
      </x:c>
      <x:c r="D4" s="96" t="str">
        <x:v>上海</x:v>
      </x:c>
      <x:c r="E4" s="96" t="str">
        <x:v>暑期实习/留用</x:v>
      </x:c>
      <x:c r="F4" s="96" t="str">
        <x:v>2027届</x:v>
      </x:c>
      <x:c r="G4" s="96" t="str">
        <x:v>金融科技/风控策略</x:v>
      </x:c>
      <x:c r="H4" s="111"/>
      <x:c r="I4" s="96" t="n">
        <x:v>98</x:v>
      </x:c>
      <x:c r="J4" s="96" t="str">
        <x:v>是</x:v>
      </x:c>
      <x:c r="K4" s="96" t="str">
        <x:v>上海国资委</x:v>
      </x:c>
      <x:c r="L4" s="96" t="str">
        <x:v>Tier 1</x:v>
      </x:c>
      <x:c r="M4" s="96" t="str">
        <x:v>https://www.gzw.sh.gov.cn/shgzw_xxgk_cqzp/20260519/b53bdd320a214cbe9dded8d485b0702a.html</x:v>
      </x:c>
      <x:c r="N4" s="96" t="str">
        <x:v>官方公告；报名是否仍开放待核验</x:v>
      </x:c>
      <x:c r="O4" s="96" t="str">
        <x:v>未投递</x:v>
      </x:c>
      <x:c r="P4" s="97" t="str">
        <x:v>高匹配，优先处理</x:v>
      </x:c>
    </x:row>
    <x:row r="5">
      <x:c r="A5" s="111" t="n">
        <x:v>46234</x:v>
      </x:c>
      <x:c r="B5" s="96" t="str">
        <x:v>上海建科咨询集团</x:v>
      </x:c>
      <x:c r="C5" s="96" t="str">
        <x:v>暑期实习暨2027届秋招提前批次</x:v>
      </x:c>
      <x:c r="D5" s="96" t="str">
        <x:v>上海</x:v>
      </x:c>
      <x:c r="E5" s="96" t="str">
        <x:v>提前批</x:v>
      </x:c>
      <x:c r="F5" s="96" t="str">
        <x:v>2027届</x:v>
      </x:c>
      <x:c r="G5" s="96" t="str">
        <x:v>数据分析/产品经理</x:v>
      </x:c>
      <x:c r="H5" s="111"/>
      <x:c r="I5" s="96" t="n">
        <x:v>82</x:v>
      </x:c>
      <x:c r="J5" s="96" t="str">
        <x:v>是</x:v>
      </x:c>
      <x:c r="K5" s="96" t="str">
        <x:v>上海国资委</x:v>
      </x:c>
      <x:c r="L5" s="96" t="str">
        <x:v>Tier 1</x:v>
      </x:c>
      <x:c r="M5" s="96" t="str">
        <x:v>https://www.gzw.sh.gov.cn/shgzw_xxgk_cqzp/20260525/aaaf1e33b4c042e087b15f638400ccd8.html</x:v>
      </x:c>
      <x:c r="N5" s="96" t="str">
        <x:v>官方公告；具体岗位与当前截止状态待核验</x:v>
      </x:c>
      <x:c r="O5" s="96" t="str">
        <x:v>未投递</x:v>
      </x:c>
      <x:c r="P5" s="97" t="str">
        <x:v>高匹配，优先处理</x:v>
      </x:c>
    </x:row>
    <x:row r="6">
      <x:c r="A6" s="111" t="n">
        <x:v>46234</x:v>
      </x:c>
      <x:c r="B6" s="96" t="str">
        <x:v>拼多多集团</x:v>
      </x:c>
      <x:c r="C6" s="96" t="str">
        <x:v>合规运营管培生（2027届提前批）</x:v>
      </x:c>
      <x:c r="D6" s="96" t="str">
        <x:v>上海</x:v>
      </x:c>
      <x:c r="E6" s="96" t="str">
        <x:v>提前批</x:v>
      </x:c>
      <x:c r="F6" s="96" t="str">
        <x:v>2027届</x:v>
      </x:c>
      <x:c r="G6" s="96" t="str">
        <x:v>合规/AML</x:v>
      </x:c>
      <x:c r="H6" s="111" t="n">
        <x:v>46257</x:v>
      </x:c>
      <x:c r="I6" s="96" t="n">
        <x:v>78</x:v>
      </x:c>
      <x:c r="J6" s="96" t="str">
        <x:v>是</x:v>
      </x:c>
      <x:c r="K6" s="96" t="str">
        <x:v>PDD官方校招入口（公开公告核验）</x:v>
      </x:c>
      <x:c r="L6" s="96" t="str">
        <x:v>Tier 2</x:v>
      </x:c>
      <x:c r="M6" s="96" t="str">
        <x:v>https://careers.pddglobalhr.com/campus</x:v>
      </x:c>
      <x:c r="N6" s="96" t="str">
        <x:v>批次和截止日期已核验；具体JD回官网确认</x:v>
      </x:c>
      <x:c r="O6" s="96" t="str">
        <x:v>未投递</x:v>
      </x:c>
      <x:c r="P6" s="97" t="str">
        <x:v>高匹配，优先处理</x:v>
      </x:c>
    </x:row>
    <x:row r="7">
      <x:c r="A7" s="111" t="n">
        <x:v>46234</x:v>
      </x:c>
      <x:c r="B7" s="96" t="str">
        <x:v>拼多多集团</x:v>
      </x:c>
      <x:c r="C7" s="96" t="str">
        <x:v>数据分析师（2027届提前批）</x:v>
      </x:c>
      <x:c r="D7" s="96" t="str">
        <x:v>上海</x:v>
      </x:c>
      <x:c r="E7" s="96" t="str">
        <x:v>提前批</x:v>
      </x:c>
      <x:c r="F7" s="96" t="str">
        <x:v>2027届</x:v>
      </x:c>
      <x:c r="G7" s="96" t="str">
        <x:v>数据分析</x:v>
      </x:c>
      <x:c r="H7" s="111" t="n">
        <x:v>46257</x:v>
      </x:c>
      <x:c r="I7" s="96" t="n">
        <x:v>68</x:v>
      </x:c>
      <x:c r="J7" s="96" t="str">
        <x:v>是</x:v>
      </x:c>
      <x:c r="K7" s="96" t="str">
        <x:v>PDD官方校招入口（公开公告核验）</x:v>
      </x:c>
      <x:c r="L7" s="96" t="str">
        <x:v>Tier 2</x:v>
      </x:c>
      <x:c r="M7" s="96" t="str">
        <x:v>https://careers.pddglobalhr.com/campus</x:v>
      </x:c>
      <x:c r="N7" s="96" t="str">
        <x:v>批次和截止日期已核验；具体JD回官网确认</x:v>
      </x:c>
      <x:c r="O7" s="96" t="str">
        <x:v>未投递</x:v>
      </x:c>
      <x:c r="P7" s="97" t="str">
        <x:v>中高匹配，核验后投递</x:v>
      </x:c>
    </x:row>
    <x:row r="8">
      <x:c r="A8" s="111" t="n">
        <x:v>46234</x:v>
      </x:c>
      <x:c r="B8" s="96" t="str">
        <x:v>字节跳动</x:v>
      </x:c>
      <x:c r="C8" s="96" t="str">
        <x:v>AI产品经理早鸟通道（2027届）</x:v>
      </x:c>
      <x:c r="D8" s="96" t="str">
        <x:v>上海</x:v>
      </x:c>
      <x:c r="E8" s="96" t="str">
        <x:v>提前批</x:v>
      </x:c>
      <x:c r="F8" s="96" t="str">
        <x:v>2027届</x:v>
      </x:c>
      <x:c r="G8" s="96" t="str">
        <x:v>产品经理</x:v>
      </x:c>
      <x:c r="H8" s="111" t="n">
        <x:v>46236</x:v>
      </x:c>
      <x:c r="I8" s="96" t="n">
        <x:v>64</x:v>
      </x:c>
      <x:c r="J8" s="96" t="str">
        <x:v>是</x:v>
      </x:c>
      <x:c r="K8" s="96" t="str">
        <x:v>公开招聘线索</x:v>
      </x:c>
      <x:c r="L8" s="96" t="str">
        <x:v>Tier 3</x:v>
      </x:c>
      <x:c r="M8" s="96" t="str">
        <x:v>https://www.chaojijianli.com/xiaozhao/autumn-recruit-ai-early-batch-11585-6f03a5/</x:v>
      </x:c>
      <x:c r="N8" s="96" t="str">
        <x:v>聚合线索；必须回字节校招官网核验</x:v>
      </x:c>
      <x:c r="O8" s="96" t="str">
        <x:v>未投递</x:v>
      </x:c>
      <x:c r="P8" s="97" t="str">
        <x:v>中高匹配，核验后投递</x:v>
      </x:c>
    </x:row>
    <x:row r="9">
      <x:c r="A9" s="111" t="n">
        <x:v>46234</x:v>
      </x:c>
      <x:c r="B9" s="96" t="str">
        <x:v>Airwallex空中云汇</x:v>
      </x:c>
      <x:c r="C9" s="96" t="str">
        <x:v>Associate GTM Partnerships Manager</x:v>
      </x:c>
      <x:c r="D9" s="96" t="str">
        <x:v>香港</x:v>
      </x:c>
      <x:c r="E9" s="96" t="str">
        <x:v>日常招聘</x:v>
      </x:c>
      <x:c r="F9" s="96" t="str">
        <x:v>待识别</x:v>
      </x:c>
      <x:c r="G9" s="96" t="str">
        <x:v>运营策略</x:v>
      </x:c>
      <x:c r="H9" s="111"/>
      <x:c r="I9" s="96" t="n">
        <x:v>50</x:v>
      </x:c>
      <x:c r="J9" s="96" t="str">
        <x:v>是</x:v>
      </x:c>
      <x:c r="K9" s="96" t="str">
        <x:v>Airwallex官方职位</x:v>
      </x:c>
      <x:c r="L9" s="96" t="str">
        <x:v>Tier 1</x:v>
      </x:c>
      <x:c r="M9" s="96" t="str">
        <x:v>https://careers.airwallex.com/job/eb5e2e34-538f-4cad-a1b8-82c260c2ff6f/associate-gtm-partnerships-manager/</x:v>
      </x:c>
      <x:c r="N9" s="96" t="str">
        <x:v>官方职位页可访问；非明确校招</x:v>
      </x:c>
      <x:c r="O9" s="96" t="str">
        <x:v>未投递</x:v>
      </x:c>
      <x:c r="P9" s="97" t="str">
        <x:v>优先核验是否仍开放</x:v>
      </x:c>
    </x:row>
    <x:row r="10">
      <x:c r="A10" s="111" t="n">
        <x:v>46234</x:v>
      </x:c>
      <x:c r="B10" s="96" t="str">
        <x:v>Airwallex空中云汇</x:v>
      </x:c>
      <x:c r="C10" s="96" t="str">
        <x:v>Transaction Monitoring Senior Analyst</x:v>
      </x:c>
      <x:c r="D10" s="96" t="str">
        <x:v>上海</x:v>
      </x:c>
      <x:c r="E10" s="96" t="str">
        <x:v>日常招聘</x:v>
      </x:c>
      <x:c r="F10" s="96" t="str">
        <x:v>待识别</x:v>
      </x:c>
      <x:c r="G10" s="96" t="str">
        <x:v>合规/AML</x:v>
      </x:c>
      <x:c r="H10" s="111"/>
      <x:c r="I10" s="96" t="n">
        <x:v>45</x:v>
      </x:c>
      <x:c r="J10" s="96" t="str">
        <x:v>是</x:v>
      </x:c>
      <x:c r="K10" s="96" t="str">
        <x:v>Airwallex官方职位</x:v>
      </x:c>
      <x:c r="L10" s="96" t="str">
        <x:v>Tier 1</x:v>
      </x:c>
      <x:c r="M10" s="96" t="str">
        <x:v>https://careers.airwallex.com/job/974fc2b2-a016-443a-a6f0-d351fae48cc7/transaction-monitoring-senior-analyst/</x:v>
      </x:c>
      <x:c r="N10" s="96" t="str">
        <x:v>官方职位页可访问；高级岗，不按应届岗推荐</x:v>
      </x:c>
      <x:c r="O10" s="96" t="str">
        <x:v>未投递</x:v>
      </x:c>
      <x:c r="P10" s="97" t="str">
        <x:v>经验要求偏高，仅作行业岗位样本</x:v>
      </x:c>
    </x:row>
    <x:row r="11">
      <x:c r="A11" s="112" t="n">
        <x:v>46234</x:v>
      </x:c>
      <x:c r="B11" s="98" t="str">
        <x:v>Airwallex空中云汇</x:v>
      </x:c>
      <x:c r="C11" s="98" t="str">
        <x:v>Senior Analyst, Customer Support, GC</x:v>
      </x:c>
      <x:c r="D11" s="98" t="str">
        <x:v>上海</x:v>
      </x:c>
      <x:c r="E11" s="98" t="str">
        <x:v>日常招聘</x:v>
      </x:c>
      <x:c r="F11" s="98" t="str">
        <x:v>待识别</x:v>
      </x:c>
      <x:c r="G11" s="98" t="str">
        <x:v>运营策略</x:v>
      </x:c>
      <x:c r="H11" s="112"/>
      <x:c r="I11" s="98" t="n">
        <x:v>35</x:v>
      </x:c>
      <x:c r="J11" s="98" t="str">
        <x:v>是</x:v>
      </x:c>
      <x:c r="K11" s="98" t="str">
        <x:v>Airwallex官方职位</x:v>
      </x:c>
      <x:c r="L11" s="98" t="str">
        <x:v>Tier 1</x:v>
      </x:c>
      <x:c r="M11" s="98" t="str">
        <x:v>https://careers.airwallex.com/jobs/</x:v>
      </x:c>
      <x:c r="N11" s="98" t="str">
        <x:v>官方职位列表已核验；详情待打开</x:v>
      </x:c>
      <x:c r="O11" s="98" t="str">
        <x:v>未投递</x:v>
      </x:c>
      <x:c r="P11" s="99" t="str">
        <x:v>经验要求偏高，仅作行业岗位样本</x:v>
      </x:c>
    </x:row>
  </x:sheetData>
  <x:mergeCells>
    <x:mergeCell ref="A1:P1"/>
    <x:mergeCell ref="A2:P2"/>
  </x:mergeCells>
  <x:conditionalFormatting sqref="I4:I1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4:J11">
    <x:cfRule type="expression" dxfId="0" priority="2">
      <x:formula>J4="是"</x:formula>
    </x:cfRule>
  </x:conditionalFormatting>
  <x:dataValidations count="1">
    <x:dataValidation type="list" sqref="O4:O200">
      <x:formula1>"未投递,准备中,已投递,一面,二面,终面,Offer,放弃"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a061a57c0d482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4" hidden="0" customWidth="1"/>
    <x:col min="4" max="4" width="23" hidden="0" customWidth="1"/>
    <x:col min="5" max="5" width="24" hidden="0" customWidth="1"/>
    <x:col min="6" max="6" width="16" hidden="0" customWidth="1"/>
    <x:col min="7" max="7" width="22" hidden="0" customWidth="1"/>
    <x:col min="8" max="8" width="9" hidden="0" customWidth="1"/>
    <x:col min="9" max="9" width="34" hidden="0" customWidth="1"/>
    <x:col min="10" max="10" width="36" hidden="0" customWidth="1"/>
    <x:col min="11" max="11" width="24" hidden="0" customWidth="1"/>
    <x:col min="12" max="12" width="28" hidden="0" customWidth="1"/>
    <x:col min="13" max="13" width="13" hidden="0" customWidth="1"/>
    <x:col min="14" max="14" width="14" hidden="0" customWidth="1"/>
    <x:col min="15" max="15" width="12" hidden="0" customWidth="1"/>
    <x:col min="16" max="16" width="22" hidden="0" customWidth="1"/>
  </x:cols>
  <x:sheetData>
    <x:row r="1" ht="32" customHeight="1">
      <x:c r="A1" s="5" t="str">
        <x:v>公司池｜原 Excel + 同类支付公司 + 上海金融基础设施/国资国企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12" t="str">
        <x:v>P0=核心必看；P1=高度相关；P2=机会性。公司池不是静态名单：每日任务按官网、ATS、上海国资委、国聘和搜索源持续扩展。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3">
      <x:c r="A3" s="82" t="str">
        <x:v>ID</x:v>
      </x:c>
      <x:c r="B3" s="82" t="str">
        <x:v>公司</x:v>
      </x:c>
      <x:c r="C3" s="82" t="str">
        <x:v>English</x:v>
      </x:c>
      <x:c r="D3" s="82" t="str">
        <x:v>类别</x:v>
      </x:c>
      <x:c r="E3" s="82" t="str">
        <x:v>子类别</x:v>
      </x:c>
      <x:c r="F3" s="82" t="str">
        <x:v>城市</x:v>
      </x:c>
      <x:c r="G3" s="82" t="str">
        <x:v>类型</x:v>
      </x:c>
      <x:c r="H3" s="82" t="str">
        <x:v>优先级</x:v>
      </x:c>
      <x:c r="I3" s="82" t="str">
        <x:v>目标方向</x:v>
      </x:c>
      <x:c r="J3" s="82" t="str">
        <x:v>官方招聘页</x:v>
      </x:c>
      <x:c r="K3" s="82" t="str">
        <x:v>监控渠道</x:v>
      </x:c>
      <x:c r="L3" s="82" t="str">
        <x:v>原Excel备注</x:v>
      </x:c>
      <x:c r="M3" s="82" t="str">
        <x:v>公司池来源</x:v>
      </x:c>
      <x:c r="N3" s="82" t="str">
        <x:v>扫描状态</x:v>
      </x:c>
      <x:c r="O3" s="82" t="str">
        <x:v>最近核验</x:v>
      </x:c>
      <x:c r="P3" s="82" t="str">
        <x:v>备注</x:v>
      </x:c>
    </x:row>
    <x:row r="4">
      <x:c r="A4" s="96" t="str">
        <x:v>airwallex</x:v>
      </x:c>
      <x:c r="B4" s="96" t="str">
        <x:v>Airwallex空中云汇</x:v>
      </x:c>
      <x:c r="C4" s="96" t="str">
        <x:v>Airwallex</x:v>
      </x:c>
      <x:c r="D4" s="96" t="str">
        <x:v>支付/FinTech</x:v>
      </x:c>
      <x:c r="E4" s="96" t="str">
        <x:v>跨境支付平台</x:v>
      </x:c>
      <x:c r="F4" s="96" t="str">
        <x:v>上海/香港</x:v>
      </x:c>
      <x:c r="G4" s="96" t="str">
        <x:v>私企/全球FinTech</x:v>
      </x:c>
      <x:c r="H4" s="96" t="str">
        <x:v>P0</x:v>
      </x:c>
      <x:c r="I4" s="96" t="str">
        <x:v>跨境支付/支付风控/AML/KYC/产品/数据分析/运营策略</x:v>
      </x:c>
      <x:c r="J4" s="96" t="str">
        <x:v>https://careers.airwallex.com/jobs/</x:v>
      </x:c>
      <x:c r="K4" s="96" t="str">
        <x:v>官网/LinkedIn/搜索</x:v>
      </x:c>
      <x:c r="L4" s="96" t="str">
        <x:v>跨境支付；原Excel重点</x:v>
      </x:c>
      <x:c r="M4" s="96" t="str">
        <x:v>原Excel种子</x:v>
      </x:c>
      <x:c r="N4" s="96" t="str">
        <x:v>已配置</x:v>
      </x:c>
      <x:c r="O4" s="111" t="n">
        <x:v>46234</x:v>
      </x:c>
      <x:c r="P4" s="97" t="str">
        <x:v>当前有岗位/批次线索</x:v>
      </x:c>
    </x:row>
    <x:row r="5">
      <x:c r="A5" s="96" t="str">
        <x:v>xtransfer</x:v>
      </x:c>
      <x:c r="B5" s="96" t="str">
        <x:v>XTransfer</x:v>
      </x:c>
      <x:c r="C5" s="96" t="str">
        <x:v>XTransfer</x:v>
      </x:c>
      <x:c r="D5" s="96" t="str">
        <x:v>支付/FinTech</x:v>
      </x:c>
      <x:c r="E5" s="96" t="str">
        <x:v>B2B跨境金融</x:v>
      </x:c>
      <x:c r="F5" s="96" t="str">
        <x:v>上海/香港</x:v>
      </x:c>
      <x:c r="G5" s="96" t="str">
        <x:v>私企</x:v>
      </x:c>
      <x:c r="H5" s="96" t="str">
        <x:v>P0</x:v>
      </x:c>
      <x:c r="I5" s="96" t="str">
        <x:v>跨境支付/风控策略/AML/KYC/产品/数据分析</x:v>
      </x:c>
      <x:c r="J5" s="96" t="str">
        <x:v>https://www.xtransfer.com/careers</x:v>
      </x:c>
      <x:c r="K5" s="96" t="str">
        <x:v>官网/公众号/搜索</x:v>
      </x:c>
      <x:c r="L5" s="96" t="str">
        <x:v>强推，重点看具体岗位</x:v>
      </x:c>
      <x:c r="M5" s="96" t="str">
        <x:v>原Excel种子</x:v>
      </x:c>
      <x:c r="N5" s="96" t="str">
        <x:v>已配置</x:v>
      </x:c>
      <x:c r="O5" s="111"/>
      <x:c r="P5" s="97" t="str"/>
    </x:row>
    <x:row r="6">
      <x:c r="A6" s="96" t="str">
        <x:v>payermax</x:v>
      </x:c>
      <x:c r="B6" s="96" t="str">
        <x:v>PayerMax</x:v>
      </x:c>
      <x:c r="C6" s="96" t="str">
        <x:v>PayerMax</x:v>
      </x:c>
      <x:c r="D6" s="96" t="str">
        <x:v>支付/FinTech</x:v>
      </x:c>
      <x:c r="E6" s="96" t="str">
        <x:v>新兴市场支付</x:v>
      </x:c>
      <x:c r="F6" s="96" t="str">
        <x:v>上海</x:v>
      </x:c>
      <x:c r="G6" s="96" t="str">
        <x:v>私企</x:v>
      </x:c>
      <x:c r="H6" s="96" t="str">
        <x:v>P0</x:v>
      </x:c>
      <x:c r="I6" s="96" t="str">
        <x:v>跨境支付/支付风控/合规/产品/数据分析</x:v>
      </x:c>
      <x:c r="J6" s="96" t="str">
        <x:v>https://www.payermax.com/careers</x:v>
      </x:c>
      <x:c r="K6" s="96" t="str">
        <x:v>官网/公众号/搜索</x:v>
      </x:c>
      <x:c r="L6" s="96" t="str">
        <x:v>强推；已有HR联系渠道</x:v>
      </x:c>
      <x:c r="M6" s="96" t="str">
        <x:v>原Excel种子</x:v>
      </x:c>
      <x:c r="N6" s="96" t="str">
        <x:v>已配置</x:v>
      </x:c>
      <x:c r="O6" s="111"/>
      <x:c r="P6" s="97" t="str"/>
    </x:row>
    <x:row r="7">
      <x:c r="A7" s="96" t="str">
        <x:v>pingpong</x:v>
      </x:c>
      <x:c r="B7" s="96" t="str">
        <x:v>PingPong</x:v>
      </x:c>
      <x:c r="C7" s="96" t="str">
        <x:v>PingPong</x:v>
      </x:c>
      <x:c r="D7" s="96" t="str">
        <x:v>支付/FinTech</x:v>
      </x:c>
      <x:c r="E7" s="96" t="str">
        <x:v>跨境收付</x:v>
      </x:c>
      <x:c r="F7" s="96" t="str">
        <x:v>上海/杭州</x:v>
      </x:c>
      <x:c r="G7" s="96" t="str">
        <x:v>私企</x:v>
      </x:c>
      <x:c r="H7" s="96" t="str">
        <x:v>P0</x:v>
      </x:c>
      <x:c r="I7" s="96" t="str">
        <x:v>跨境支付/风控策略/合规/产品</x:v>
      </x:c>
      <x:c r="J7" s="96" t="str">
        <x:v>https://www.pingpongx.com/careers</x:v>
      </x:c>
      <x:c r="K7" s="96" t="str">
        <x:v>官网/公众号/搜索</x:v>
      </x:c>
      <x:c r="L7" s="96" t="str">
        <x:v>原Excel：需核验上海岗位</x:v>
      </x:c>
      <x:c r="M7" s="96" t="str">
        <x:v>原Excel种子</x:v>
      </x:c>
      <x:c r="N7" s="96" t="str">
        <x:v>已配置</x:v>
      </x:c>
      <x:c r="O7" s="111"/>
      <x:c r="P7" s="97" t="str"/>
    </x:row>
    <x:row r="8">
      <x:c r="A8" s="96" t="str">
        <x:v>unionpay</x:v>
      </x:c>
      <x:c r="B8" s="96" t="str">
        <x:v>中国银联</x:v>
      </x:c>
      <x:c r="C8" s="96" t="str">
        <x:v>China UnionPay</x:v>
      </x:c>
      <x:c r="D8" s="96" t="str">
        <x:v>金融基础设施</x:v>
      </x:c>
      <x:c r="E8" s="96" t="str">
        <x:v>银行卡清算组织</x:v>
      </x:c>
      <x:c r="F8" s="96" t="str">
        <x:v>上海</x:v>
      </x:c>
      <x:c r="G8" s="96" t="str">
        <x:v>央企/金融基础设施</x:v>
      </x:c>
      <x:c r="H8" s="96" t="str">
        <x:v>P0</x:v>
      </x:c>
      <x:c r="I8" s="96" t="str">
        <x:v>支付清算/数字人民币/风险管理/产品/数据分析</x:v>
      </x:c>
      <x:c r="J8" s="96" t="str">
        <x:v>https://career.unionpay.com/</x:v>
      </x:c>
      <x:c r="K8" s="96" t="str">
        <x:v>官网/公众号/国聘/搜索</x:v>
      </x:c>
      <x:c r="L8" s="96" t="str">
        <x:v>核心目标</x:v>
      </x:c>
      <x:c r="M8" s="96" t="str">
        <x:v>原Excel种子</x:v>
      </x:c>
      <x:c r="N8" s="96" t="str">
        <x:v>已配置</x:v>
      </x:c>
      <x:c r="O8" s="111"/>
      <x:c r="P8" s="97" t="str"/>
    </x:row>
    <x:row r="9">
      <x:c r="A9" s="96" t="str">
        <x:v>unionpay_intl</x:v>
      </x:c>
      <x:c r="B9" s="96" t="str">
        <x:v>银联国际</x:v>
      </x:c>
      <x:c r="C9" s="96" t="str">
        <x:v>UnionPay International</x:v>
      </x:c>
      <x:c r="D9" s="96" t="str">
        <x:v>支付/FinTech</x:v>
      </x:c>
      <x:c r="E9" s="96" t="str">
        <x:v>全球银行卡网络</x:v>
      </x:c>
      <x:c r="F9" s="96" t="str">
        <x:v>上海/香港</x:v>
      </x:c>
      <x:c r="G9" s="96" t="str">
        <x:v>银联子公司</x:v>
      </x:c>
      <x:c r="H9" s="96" t="str">
        <x:v>P0</x:v>
      </x:c>
      <x:c r="I9" s="96" t="str">
        <x:v>跨境支付/国际业务/合规/风险管理/产品</x:v>
      </x:c>
      <x:c r="J9" s="96" t="str">
        <x:v>https://career.unionpay.com/</x:v>
      </x:c>
      <x:c r="K9" s="96" t="str">
        <x:v>官网/公众号/LinkedIn/搜索</x:v>
      </x:c>
      <x:c r="L9" s="96" t="str">
        <x:v>核心目标</x:v>
      </x:c>
      <x:c r="M9" s="96" t="str">
        <x:v>原Excel种子</x:v>
      </x:c>
      <x:c r="N9" s="96" t="str">
        <x:v>已配置</x:v>
      </x:c>
      <x:c r="O9" s="111"/>
      <x:c r="P9" s="97" t="str"/>
    </x:row>
    <x:row r="10">
      <x:c r="A10" s="96" t="str">
        <x:v>ccbc</x:v>
      </x:c>
      <x:c r="B10" s="96" t="str">
        <x:v>城银清算</x:v>
      </x:c>
      <x:c r="C10" s="96" t="str">
        <x:v>City Commercial Banks Clearing</x:v>
      </x:c>
      <x:c r="D10" s="96" t="str">
        <x:v>金融基础设施</x:v>
      </x:c>
      <x:c r="E10" s="96" t="str">
        <x:v>支付清算</x:v>
      </x:c>
      <x:c r="F10" s="96" t="str">
        <x:v>上海</x:v>
      </x:c>
      <x:c r="G10" s="96" t="str">
        <x:v>金融基础设施机构</x:v>
      </x:c>
      <x:c r="H10" s="96" t="str">
        <x:v>P0</x:v>
      </x:c>
      <x:c r="I10" s="96" t="str">
        <x:v>清算结算/支付系统/风险管理/产品/数据分析</x:v>
      </x:c>
      <x:c r="J10" s="96" t="str">
        <x:v>https://www.ccbc.com.cn/</x:v>
      </x:c>
      <x:c r="K10" s="96" t="str">
        <x:v>官网/国聘/公众号/搜索</x:v>
      </x:c>
      <x:c r="L10" s="96" t="str">
        <x:v>去年秋招时间可作监控基线</x:v>
      </x:c>
      <x:c r="M10" s="96" t="str">
        <x:v>原Excel种子</x:v>
      </x:c>
      <x:c r="N10" s="96" t="str">
        <x:v>已配置</x:v>
      </x:c>
      <x:c r="O10" s="111"/>
      <x:c r="P10" s="97" t="str"/>
    </x:row>
    <x:row r="11">
      <x:c r="A11" s="96" t="str">
        <x:v>cips</x:v>
      </x:c>
      <x:c r="B11" s="96" t="str">
        <x:v>跨境银行间支付清算</x:v>
      </x:c>
      <x:c r="C11" s="96" t="str">
        <x:v>CIPS</x:v>
      </x:c>
      <x:c r="D11" s="96" t="str">
        <x:v>金融基础设施</x:v>
      </x:c>
      <x:c r="E11" s="96" t="str">
        <x:v>跨境人民币清算</x:v>
      </x:c>
      <x:c r="F11" s="96" t="str">
        <x:v>上海</x:v>
      </x:c>
      <x:c r="G11" s="96" t="str">
        <x:v>金融基础设施机构</x:v>
      </x:c>
      <x:c r="H11" s="96" t="str">
        <x:v>P0</x:v>
      </x:c>
      <x:c r="I11" s="96" t="str">
        <x:v>跨境清算/人民币国际化/产品/运营/风险管理</x:v>
      </x:c>
      <x:c r="J11" s="96" t="str">
        <x:v>https://www.cips.com.cn/</x:v>
      </x:c>
      <x:c r="K11" s="96" t="str">
        <x:v>官网/国聘/公众号/搜索</x:v>
      </x:c>
      <x:c r="L11" s="96" t="str">
        <x:v>高难度但高度匹配</x:v>
      </x:c>
      <x:c r="M11" s="96" t="str">
        <x:v>原Excel种子</x:v>
      </x:c>
      <x:c r="N11" s="96" t="str">
        <x:v>已配置</x:v>
      </x:c>
      <x:c r="O11" s="111"/>
      <x:c r="P11" s="97" t="str"/>
    </x:row>
    <x:row r="12">
      <x:c r="A12" s="96" t="str">
        <x:v>shch</x:v>
      </x:c>
      <x:c r="B12" s="96" t="str">
        <x:v>上海清算所</x:v>
      </x:c>
      <x:c r="C12" s="96" t="str">
        <x:v>Shanghai Clearing House</x:v>
      </x:c>
      <x:c r="D12" s="96" t="str">
        <x:v>金融基础设施</x:v>
      </x:c>
      <x:c r="E12" s="96" t="str">
        <x:v>中央对手清算</x:v>
      </x:c>
      <x:c r="F12" s="96" t="str">
        <x:v>上海</x:v>
      </x:c>
      <x:c r="G12" s="96" t="str">
        <x:v>金融市场基础设施</x:v>
      </x:c>
      <x:c r="H12" s="96" t="str">
        <x:v>P0</x:v>
      </x:c>
      <x:c r="I12" s="96" t="str">
        <x:v>清算结算/风险管理/数据分析/产品</x:v>
      </x:c>
      <x:c r="J12" s="96" t="str">
        <x:v>https://www.shclearing.com.cn/</x:v>
      </x:c>
      <x:c r="K12" s="96" t="str">
        <x:v>官网/国聘/公众号/搜索</x:v>
      </x:c>
      <x:c r="L12" s="96" t="str">
        <x:v>暑期曾无反馈，持续监控</x:v>
      </x:c>
      <x:c r="M12" s="96" t="str">
        <x:v>原Excel种子</x:v>
      </x:c>
      <x:c r="N12" s="96" t="str">
        <x:v>已配置</x:v>
      </x:c>
      <x:c r="O12" s="111"/>
      <x:c r="P12" s="97" t="str"/>
    </x:row>
    <x:row r="13">
      <x:c r="A13" s="96" t="str">
        <x:v>cfets</x:v>
      </x:c>
      <x:c r="B13" s="96" t="str">
        <x:v>中国外汇交易中心</x:v>
      </x:c>
      <x:c r="C13" s="96" t="str">
        <x:v>China Foreign Exchange Trade System</x:v>
      </x:c>
      <x:c r="D13" s="96" t="str">
        <x:v>金融基础设施</x:v>
      </x:c>
      <x:c r="E13" s="96" t="str">
        <x:v>银行间市场/外汇</x:v>
      </x:c>
      <x:c r="F13" s="96" t="str">
        <x:v>上海</x:v>
      </x:c>
      <x:c r="G13" s="96" t="str">
        <x:v>央行直属事业单位</x:v>
      </x:c>
      <x:c r="H13" s="96" t="str">
        <x:v>P0</x:v>
      </x:c>
      <x:c r="I13" s="96" t="str">
        <x:v>跨境金融/金融基础设施/数据分析/产品/风险管理</x:v>
      </x:c>
      <x:c r="J13" s="96" t="str">
        <x:v>https://www.chinamoney.com.cn/</x:v>
      </x:c>
      <x:c r="K13" s="96" t="str">
        <x:v>官网/国聘/公众号/搜索</x:v>
      </x:c>
      <x:c r="L13" s="96" t="str">
        <x:v>人民币国际化相关</x:v>
      </x:c>
      <x:c r="M13" s="96" t="str">
        <x:v>原Excel种子</x:v>
      </x:c>
      <x:c r="N13" s="96" t="str">
        <x:v>已配置</x:v>
      </x:c>
      <x:c r="O13" s="111"/>
      <x:c r="P13" s="97" t="str"/>
    </x:row>
    <x:row r="14">
      <x:c r="A14" s="96" t="str">
        <x:v>lianlian</x:v>
      </x:c>
      <x:c r="B14" s="96" t="str">
        <x:v>连连数字/连连国际</x:v>
      </x:c>
      <x:c r="C14" s="96" t="str">
        <x:v>LianLian DigiTech</x:v>
      </x:c>
      <x:c r="D14" s="96" t="str">
        <x:v>支付/FinTech</x:v>
      </x:c>
      <x:c r="E14" s="96" t="str">
        <x:v>跨境支付</x:v>
      </x:c>
      <x:c r="F14" s="96" t="str">
        <x:v>杭州/上海/香港</x:v>
      </x:c>
      <x:c r="G14" s="96" t="str">
        <x:v>上市FinTech</x:v>
      </x:c>
      <x:c r="H14" s="96" t="str">
        <x:v>P0</x:v>
      </x:c>
      <x:c r="I14" s="96" t="str">
        <x:v>跨境支付/风控策略/AML/KYC/产品/数据分析</x:v>
      </x:c>
      <x:c r="J14" s="96" t="str">
        <x:v>https://www.lianlian.com/careers</x:v>
      </x:c>
      <x:c r="K14" s="96" t="str">
        <x:v>官网/公众号/LinkedIn/搜索</x:v>
      </x:c>
      <x:c r="L14" s="96" t="str">
        <x:v>原Excel：重点核验上海岗位</x:v>
      </x:c>
      <x:c r="M14" s="96" t="str">
        <x:v>原Excel种子</x:v>
      </x:c>
      <x:c r="N14" s="96" t="str">
        <x:v>已配置</x:v>
      </x:c>
      <x:c r="O14" s="111"/>
      <x:c r="P14" s="97" t="str"/>
    </x:row>
    <x:row r="15">
      <x:c r="A15" s="96" t="str">
        <x:v>worldfirst</x:v>
      </x:c>
      <x:c r="B15" s="96" t="str">
        <x:v>万里汇</x:v>
      </x:c>
      <x:c r="C15" s="96" t="str">
        <x:v>WorldFirst</x:v>
      </x:c>
      <x:c r="D15" s="96" t="str">
        <x:v>支付/FinTech</x:v>
      </x:c>
      <x:c r="E15" s="96" t="str">
        <x:v>跨境收付</x:v>
      </x:c>
      <x:c r="F15" s="96" t="str">
        <x:v>上海/杭州/香港</x:v>
      </x:c>
      <x:c r="G15" s="96" t="str">
        <x:v>蚂蚁国际旗下</x:v>
      </x:c>
      <x:c r="H15" s="96" t="str">
        <x:v>P0</x:v>
      </x:c>
      <x:c r="I15" s="96" t="str">
        <x:v>跨境支付/合规/风险管理/产品/运营策略</x:v>
      </x:c>
      <x:c r="J15" s="96" t="str">
        <x:v>https://www.worldfirst.com.cn/about/careers/</x:v>
      </x:c>
      <x:c r="K15" s="96" t="str">
        <x:v>官网/蚂蚁校招/公众号/搜索</x:v>
      </x:c>
      <x:c r="L15" s="96" t="str">
        <x:v>需监控校招批次</x:v>
      </x:c>
      <x:c r="M15" s="96" t="str">
        <x:v>原Excel种子</x:v>
      </x:c>
      <x:c r="N15" s="96" t="str">
        <x:v>已配置</x:v>
      </x:c>
      <x:c r="O15" s="111"/>
      <x:c r="P15" s="97" t="str"/>
    </x:row>
    <x:row r="16">
      <x:c r="A16" s="96" t="str">
        <x:v>ipaylinks</x:v>
      </x:c>
      <x:c r="B16" s="96" t="str">
        <x:v>iPayLinks</x:v>
      </x:c>
      <x:c r="C16" s="96" t="str">
        <x:v>iPayLinks</x:v>
      </x:c>
      <x:c r="D16" s="96" t="str">
        <x:v>支付/FinTech</x:v>
      </x:c>
      <x:c r="E16" s="96" t="str">
        <x:v>跨境支付</x:v>
      </x:c>
      <x:c r="F16" s="96" t="str">
        <x:v>上海</x:v>
      </x:c>
      <x:c r="G16" s="96" t="str">
        <x:v>私企</x:v>
      </x:c>
      <x:c r="H16" s="96" t="str">
        <x:v>P0</x:v>
      </x:c>
      <x:c r="I16" s="96" t="str">
        <x:v>跨境支付/风控策略/合规/产品</x:v>
      </x:c>
      <x:c r="J16" s="96" t="str">
        <x:v>https://www.ipaylinks.com/careers</x:v>
      </x:c>
      <x:c r="K16" s="96" t="str">
        <x:v>官网/公众号/搜索</x:v>
      </x:c>
      <x:c r="L16" s="96" t="str">
        <x:v>原Excel公司池</x:v>
      </x:c>
      <x:c r="M16" s="96" t="str">
        <x:v>原Excel种子</x:v>
      </x:c>
      <x:c r="N16" s="96" t="str">
        <x:v>已配置</x:v>
      </x:c>
      <x:c r="O16" s="111"/>
      <x:c r="P16" s="97" t="str"/>
    </x:row>
    <x:row r="17">
      <x:c r="A17" s="96" t="str">
        <x:v>photonpay</x:v>
      </x:c>
      <x:c r="B17" s="96" t="str">
        <x:v>PhotonPay光子易</x:v>
      </x:c>
      <x:c r="C17" s="96" t="str">
        <x:v>PhotonPay</x:v>
      </x:c>
      <x:c r="D17" s="96" t="str">
        <x:v>支付/FinTech</x:v>
      </x:c>
      <x:c r="E17" s="96" t="str">
        <x:v>全球支付基础设施</x:v>
      </x:c>
      <x:c r="F17" s="96" t="str">
        <x:v>上海/香港</x:v>
      </x:c>
      <x:c r="G17" s="96" t="str">
        <x:v>私企</x:v>
      </x:c>
      <x:c r="H17" s="96" t="str">
        <x:v>P0</x:v>
      </x:c>
      <x:c r="I17" s="96" t="str">
        <x:v>跨境支付/支付产品/合规/风险管理</x:v>
      </x:c>
      <x:c r="J17" s="96" t="str">
        <x:v>https://www.photonpay.com/careers</x:v>
      </x:c>
      <x:c r="K17" s="96" t="str">
        <x:v>官网/LinkedIn/公众号/搜索</x:v>
      </x:c>
      <x:c r="L17" s="96" t="str">
        <x:v>需确认是否有校招</x:v>
      </x:c>
      <x:c r="M17" s="96" t="str">
        <x:v>原Excel种子</x:v>
      </x:c>
      <x:c r="N17" s="96" t="str">
        <x:v>已配置</x:v>
      </x:c>
      <x:c r="O17" s="111"/>
      <x:c r="P17" s="97" t="str"/>
    </x:row>
    <x:row r="18">
      <x:c r="A18" s="96" t="str">
        <x:v>sunrate</x:v>
      </x:c>
      <x:c r="B18" s="96" t="str">
        <x:v>寻汇SUNRATE</x:v>
      </x:c>
      <x:c r="C18" s="96" t="str">
        <x:v>SUNRATE</x:v>
      </x:c>
      <x:c r="D18" s="96" t="str">
        <x:v>支付/FinTech</x:v>
      </x:c>
      <x:c r="E18" s="96" t="str">
        <x:v>全球支付与财资</x:v>
      </x:c>
      <x:c r="F18" s="96" t="str">
        <x:v>上海/香港</x:v>
      </x:c>
      <x:c r="G18" s="96" t="str">
        <x:v>私企</x:v>
      </x:c>
      <x:c r="H18" s="96" t="str">
        <x:v>P0</x:v>
      </x:c>
      <x:c r="I18" s="96" t="str">
        <x:v>跨境支付/财资产品/风控策略/合规/数据分析</x:v>
      </x:c>
      <x:c r="J18" s="96" t="str">
        <x:v>https://www.sunrate.com/careers</x:v>
      </x:c>
      <x:c r="K18" s="96" t="str">
        <x:v>官网/LinkedIn/公众号/搜索</x:v>
      </x:c>
      <x:c r="L18" s="96" t="str">
        <x:v>原Excel“寻汇”</x:v>
      </x:c>
      <x:c r="M18" s="96" t="str">
        <x:v>原Excel种子</x:v>
      </x:c>
      <x:c r="N18" s="96" t="str">
        <x:v>已配置</x:v>
      </x:c>
      <x:c r="O18" s="111"/>
      <x:c r="P18" s="97" t="str"/>
    </x:row>
    <x:row r="19">
      <x:c r="A19" s="96" t="str">
        <x:v>antom</x:v>
      </x:c>
      <x:c r="B19" s="96" t="str">
        <x:v>Antom</x:v>
      </x:c>
      <x:c r="C19" s="96" t="str">
        <x:v>Antom</x:v>
      </x:c>
      <x:c r="D19" s="96" t="str">
        <x:v>支付/FinTech</x:v>
      </x:c>
      <x:c r="E19" s="96" t="str">
        <x:v>全球商户支付</x:v>
      </x:c>
      <x:c r="F19" s="96" t="str">
        <x:v>上海/香港</x:v>
      </x:c>
      <x:c r="G19" s="96" t="str">
        <x:v>蚂蚁国际旗下</x:v>
      </x:c>
      <x:c r="H19" s="96" t="str">
        <x:v>P0</x:v>
      </x:c>
      <x:c r="I19" s="96" t="str">
        <x:v>跨境支付/支付产品/风控策略/合规/数据分析</x:v>
      </x:c>
      <x:c r="J19" s="96" t="str">
        <x:v>https://www.antom.com/careers</x:v>
      </x:c>
      <x:c r="K19" s="96" t="str">
        <x:v>官网/蚂蚁校招/LinkedIn/搜索</x:v>
      </x:c>
      <x:c r="L19" s="96" t="str">
        <x:v>需确认是否独立校招</x:v>
      </x:c>
      <x:c r="M19" s="96" t="str">
        <x:v>原Excel种子</x:v>
      </x:c>
      <x:c r="N19" s="96" t="str">
        <x:v>已配置</x:v>
      </x:c>
      <x:c r="O19" s="111"/>
      <x:c r="P19" s="97" t="str"/>
    </x:row>
    <x:row r="20">
      <x:c r="A20" s="96" t="str">
        <x:v>useepay</x:v>
      </x:c>
      <x:c r="B20" s="96" t="str">
        <x:v>UseePay</x:v>
      </x:c>
      <x:c r="C20" s="96" t="str">
        <x:v>UseePay</x:v>
      </x:c>
      <x:c r="D20" s="96" t="str">
        <x:v>支付/FinTech</x:v>
      </x:c>
      <x:c r="E20" s="96" t="str">
        <x:v>跨境收单</x:v>
      </x:c>
      <x:c r="F20" s="96" t="str">
        <x:v>上海</x:v>
      </x:c>
      <x:c r="G20" s="96" t="str">
        <x:v>私企</x:v>
      </x:c>
      <x:c r="H20" s="96" t="str">
        <x:v>P0</x:v>
      </x:c>
      <x:c r="I20" s="96" t="str">
        <x:v>跨境支付/风控策略/合规/产品</x:v>
      </x:c>
      <x:c r="J20" s="96" t="str">
        <x:v>https://www.useepay.com/</x:v>
      </x:c>
      <x:c r="K20" s="96" t="str">
        <x:v>官网/公众号/搜索</x:v>
      </x:c>
      <x:c r="L20" s="96" t="str">
        <x:v>原Excel公司池</x:v>
      </x:c>
      <x:c r="M20" s="96" t="str">
        <x:v>原Excel种子</x:v>
      </x:c>
      <x:c r="N20" s="96" t="str">
        <x:v>已配置</x:v>
      </x:c>
      <x:c r="O20" s="111"/>
      <x:c r="P20" s="97" t="str"/>
    </x:row>
    <x:row r="21">
      <x:c r="A21" s="96" t="str">
        <x:v>srcb</x:v>
      </x:c>
      <x:c r="B21" s="96" t="str">
        <x:v>上海农商银行</x:v>
      </x:c>
      <x:c r="C21" s="96" t="str">
        <x:v>Shanghai Rural Commercial Bank</x:v>
      </x:c>
      <x:c r="D21" s="96" t="str">
        <x:v>银行/子公司</x:v>
      </x:c>
      <x:c r="E21" s="96" t="str">
        <x:v>上海本地国资金融</x:v>
      </x:c>
      <x:c r="F21" s="96" t="str">
        <x:v>上海</x:v>
      </x:c>
      <x:c r="G21" s="96" t="str">
        <x:v>上海国资控股银行</x:v>
      </x:c>
      <x:c r="H21" s="96" t="str">
        <x:v>P0</x:v>
      </x:c>
      <x:c r="I21" s="96" t="str">
        <x:v>金融科技/风险管理/数据分析/产品</x:v>
      </x:c>
      <x:c r="J21" s="96" t="str">
        <x:v>https://shrcb.zhiye.com/</x:v>
      </x:c>
      <x:c r="K21" s="96" t="str">
        <x:v>官网/上海国资委/公众号/搜索</x:v>
      </x:c>
      <x:c r="L21" s="96" t="str">
        <x:v>优先看金融科技/风控而非常规总行岗</x:v>
      </x:c>
      <x:c r="M21" s="96" t="str">
        <x:v>原Excel种子</x:v>
      </x:c>
      <x:c r="N21" s="96" t="str">
        <x:v>已配置</x:v>
      </x:c>
      <x:c r="O21" s="111" t="n">
        <x:v>46234</x:v>
      </x:c>
      <x:c r="P21" s="97" t="str">
        <x:v>当前有岗位/批次线索</x:v>
      </x:c>
    </x:row>
    <x:row r="22">
      <x:c r="A22" s="96" t="str">
        <x:v>shdata</x:v>
      </x:c>
      <x:c r="B22" s="96" t="str">
        <x:v>上海数据集团</x:v>
      </x:c>
      <x:c r="C22" s="96" t="str">
        <x:v>Shanghai Data Group</x:v>
      </x:c>
      <x:c r="D22" s="96" t="str">
        <x:v>上海国企</x:v>
      </x:c>
      <x:c r="E22" s="96" t="str">
        <x:v>数据要素/城市数字化</x:v>
      </x:c>
      <x:c r="F22" s="96" t="str">
        <x:v>上海</x:v>
      </x:c>
      <x:c r="G22" s="96" t="str">
        <x:v>上海市属国企</x:v>
      </x:c>
      <x:c r="H22" s="96" t="str">
        <x:v>P0</x:v>
      </x:c>
      <x:c r="I22" s="96" t="str">
        <x:v>数据产品/数据治理/风险管理/AI/Agent/战略</x:v>
      </x:c>
      <x:c r="J22" s="96" t="str">
        <x:v>https://www.shdata.com/</x:v>
      </x:c>
      <x:c r="K22" s="96" t="str">
        <x:v>上海国资委/官网/公众号/搜索</x:v>
      </x:c>
      <x:c r="L22" s="96" t="str">
        <x:v>与金融数据基础设施方向相邻</x:v>
      </x:c>
      <x:c r="M22" s="96" t="str">
        <x:v>同类扩展</x:v>
      </x:c>
      <x:c r="N22" s="96" t="str">
        <x:v>已配置</x:v>
      </x:c>
      <x:c r="O22" s="111"/>
      <x:c r="P22" s="97" t="str"/>
    </x:row>
    <x:row r="23">
      <x:c r="A23" s="96" t="str">
        <x:v>rdtech</x:v>
      </x:c>
      <x:c r="B23" s="96" t="str">
        <x:v>RD Technologies圆币科技</x:v>
      </x:c>
      <x:c r="C23" s="96" t="str">
        <x:v>RD Technologies</x:v>
      </x:c>
      <x:c r="D23" s="96" t="str">
        <x:v>支付/FinTech</x:v>
      </x:c>
      <x:c r="E23" s="96" t="str">
        <x:v>稳定币/数字支付</x:v>
      </x:c>
      <x:c r="F23" s="96" t="str">
        <x:v>香港</x:v>
      </x:c>
      <x:c r="G23" s="96" t="str">
        <x:v>香港FinTech</x:v>
      </x:c>
      <x:c r="H23" s="96" t="str">
        <x:v>P0</x:v>
      </x:c>
      <x:c r="I23" s="96" t="str">
        <x:v>支付产品/稳定币/合规/AML/KYC/风险管理</x:v>
      </x:c>
      <x:c r="J23" s="96" t="str">
        <x:v>https://www.rd.group/careers</x:v>
      </x:c>
      <x:c r="K23" s="96" t="str">
        <x:v>官网/LinkedIn/搜索</x:v>
      </x:c>
      <x:c r="L23" s="96" t="str">
        <x:v>原Excel：稳定币方向</x:v>
      </x:c>
      <x:c r="M23" s="96" t="str">
        <x:v>原Excel种子</x:v>
      </x:c>
      <x:c r="N23" s="96" t="str">
        <x:v>已配置</x:v>
      </x:c>
      <x:c r="O23" s="111"/>
      <x:c r="P23" s="97" t="str"/>
    </x:row>
    <x:row r="24">
      <x:c r="A24" s="96" t="str">
        <x:v>zabank</x:v>
      </x:c>
      <x:c r="B24" s="96" t="str">
        <x:v>众安银行</x:v>
      </x:c>
      <x:c r="C24" s="96" t="str">
        <x:v>ZA Bank</x:v>
      </x:c>
      <x:c r="D24" s="96" t="str">
        <x:v>数字银行</x:v>
      </x:c>
      <x:c r="E24" s="96" t="str">
        <x:v>香港虚拟银行</x:v>
      </x:c>
      <x:c r="F24" s="96" t="str">
        <x:v>香港</x:v>
      </x:c>
      <x:c r="G24" s="96" t="str">
        <x:v>香港持牌虚拟银行</x:v>
      </x:c>
      <x:c r="H24" s="96" t="str">
        <x:v>P0</x:v>
      </x:c>
      <x:c r="I24" s="96" t="str">
        <x:v>支付产品/风控策略/AML/KYC/数据分析</x:v>
      </x:c>
      <x:c r="J24" s="96" t="str">
        <x:v>https://careers.za.group/</x:v>
      </x:c>
      <x:c r="K24" s="96" t="str">
        <x:v>官网/LinkedIn/搜索</x:v>
      </x:c>
      <x:c r="L24" s="96" t="str">
        <x:v>暑期曾拒，秋招继续监控</x:v>
      </x:c>
      <x:c r="M24" s="96" t="str">
        <x:v>原Excel种子</x:v>
      </x:c>
      <x:c r="N24" s="96" t="str">
        <x:v>已配置</x:v>
      </x:c>
      <x:c r="O24" s="111"/>
      <x:c r="P24" s="97" t="str"/>
    </x:row>
    <x:row r="25">
      <x:c r="A25" s="96" t="str">
        <x:v>welab</x:v>
      </x:c>
      <x:c r="B25" s="96" t="str">
        <x:v>WeLab Bank</x:v>
      </x:c>
      <x:c r="C25" s="96" t="str">
        <x:v>WeLab Bank</x:v>
      </x:c>
      <x:c r="D25" s="96" t="str">
        <x:v>数字银行</x:v>
      </x:c>
      <x:c r="E25" s="96" t="str">
        <x:v>香港虚拟银行</x:v>
      </x:c>
      <x:c r="F25" s="96" t="str">
        <x:v>香港</x:v>
      </x:c>
      <x:c r="G25" s="96" t="str">
        <x:v>香港持牌虚拟银行</x:v>
      </x:c>
      <x:c r="H25" s="96" t="str">
        <x:v>P0</x:v>
      </x:c>
      <x:c r="I25" s="96" t="str">
        <x:v>风控策略/信用风险/支付产品/数据分析</x:v>
      </x:c>
      <x:c r="J25" s="96" t="str">
        <x:v>https://www.welab.bank/en/careers</x:v>
      </x:c>
      <x:c r="K25" s="96" t="str">
        <x:v>官网/LinkedIn/搜索</x:v>
      </x:c>
      <x:c r="L25" s="96" t="str">
        <x:v>原Excel重点</x:v>
      </x:c>
      <x:c r="M25" s="96" t="str">
        <x:v>原Excel种子</x:v>
      </x:c>
      <x:c r="N25" s="96" t="str">
        <x:v>已配置</x:v>
      </x:c>
      <x:c r="O25" s="111"/>
      <x:c r="P25" s="97" t="str"/>
    </x:row>
    <x:row r="26">
      <x:c r="A26" s="96" t="str">
        <x:v>mox</x:v>
      </x:c>
      <x:c r="B26" s="96" t="str">
        <x:v>Mox Bank</x:v>
      </x:c>
      <x:c r="C26" s="96" t="str">
        <x:v>Mox Bank</x:v>
      </x:c>
      <x:c r="D26" s="96" t="str">
        <x:v>数字银行</x:v>
      </x:c>
      <x:c r="E26" s="96" t="str">
        <x:v>香港虚拟银行</x:v>
      </x:c>
      <x:c r="F26" s="96" t="str">
        <x:v>香港</x:v>
      </x:c>
      <x:c r="G26" s="96" t="str">
        <x:v>渣打旗下虚拟银行</x:v>
      </x:c>
      <x:c r="H26" s="96" t="str">
        <x:v>P0</x:v>
      </x:c>
      <x:c r="I26" s="96" t="str">
        <x:v>支付产品/风控策略/AML/KYC/数据分析</x:v>
      </x:c>
      <x:c r="J26" s="96" t="str">
        <x:v>https://mox.com/careers</x:v>
      </x:c>
      <x:c r="K26" s="96" t="str">
        <x:v>官网/LinkedIn/搜索</x:v>
      </x:c>
      <x:c r="L26" s="96" t="str">
        <x:v>可能偏好香港本地学生</x:v>
      </x:c>
      <x:c r="M26" s="96" t="str">
        <x:v>原Excel种子</x:v>
      </x:c>
      <x:c r="N26" s="96" t="str">
        <x:v>已配置</x:v>
      </x:c>
      <x:c r="O26" s="111"/>
      <x:c r="P26" s="97" t="str"/>
    </x:row>
    <x:row r="27">
      <x:c r="A27" s="96" t="str">
        <x:v>redotpay</x:v>
      </x:c>
      <x:c r="B27" s="96" t="str">
        <x:v>RedotPay</x:v>
      </x:c>
      <x:c r="C27" s="96" t="str">
        <x:v>RedotPay</x:v>
      </x:c>
      <x:c r="D27" s="96" t="str">
        <x:v>支付/FinTech</x:v>
      </x:c>
      <x:c r="E27" s="96" t="str">
        <x:v>加密支付/卡</x:v>
      </x:c>
      <x:c r="F27" s="96" t="str">
        <x:v>香港</x:v>
      </x:c>
      <x:c r="G27" s="96" t="str">
        <x:v>香港FinTech</x:v>
      </x:c>
      <x:c r="H27" s="96" t="str">
        <x:v>P0</x:v>
      </x:c>
      <x:c r="I27" s="96" t="str">
        <x:v>支付产品/合规/风控策略/运营</x:v>
      </x:c>
      <x:c r="J27" s="96" t="str">
        <x:v>https://www.redotpay.com/careers</x:v>
      </x:c>
      <x:c r="K27" s="96" t="str">
        <x:v>官网/LinkedIn/搜索</x:v>
      </x:c>
      <x:c r="L27" s="96" t="str">
        <x:v>暑期无反馈，继续监控</x:v>
      </x:c>
      <x:c r="M27" s="96" t="str">
        <x:v>原Excel种子</x:v>
      </x:c>
      <x:c r="N27" s="96" t="str">
        <x:v>已配置</x:v>
      </x:c>
      <x:c r="O27" s="111"/>
      <x:c r="P27" s="97" t="str"/>
    </x:row>
    <x:row r="28">
      <x:c r="A28" s="96" t="str">
        <x:v>hashkey</x:v>
      </x:c>
      <x:c r="B28" s="96" t="str">
        <x:v>HashKey Group</x:v>
      </x:c>
      <x:c r="C28" s="96" t="str">
        <x:v>HashKey</x:v>
      </x:c>
      <x:c r="D28" s="96" t="str">
        <x:v>数字资产/支付</x:v>
      </x:c>
      <x:c r="E28" s="96" t="str">
        <x:v>持牌数字资产平台</x:v>
      </x:c>
      <x:c r="F28" s="96" t="str">
        <x:v>香港</x:v>
      </x:c>
      <x:c r="G28" s="96" t="str">
        <x:v>香港持牌数字资产集团</x:v>
      </x:c>
      <x:c r="H28" s="96" t="str">
        <x:v>P0</x:v>
      </x:c>
      <x:c r="I28" s="96" t="str">
        <x:v>合规/AML/KYC/风控策略/产品/数据分析</x:v>
      </x:c>
      <x:c r="J28" s="96" t="str">
        <x:v>https://group.hashkey.com/careers</x:v>
      </x:c>
      <x:c r="K28" s="96" t="str">
        <x:v>官网/LinkedIn/搜索</x:v>
      </x:c>
      <x:c r="L28" s="96" t="str">
        <x:v>原Excel公司池</x:v>
      </x:c>
      <x:c r="M28" s="96" t="str">
        <x:v>原Excel种子</x:v>
      </x:c>
      <x:c r="N28" s="96" t="str">
        <x:v>已配置</x:v>
      </x:c>
      <x:c r="O28" s="111"/>
      <x:c r="P28" s="97" t="str"/>
    </x:row>
    <x:row r="29">
      <x:c r="A29" s="96" t="str">
        <x:v>osl</x:v>
      </x:c>
      <x:c r="B29" s="96" t="str">
        <x:v>OSL Group</x:v>
      </x:c>
      <x:c r="C29" s="96" t="str">
        <x:v>OSL</x:v>
      </x:c>
      <x:c r="D29" s="96" t="str">
        <x:v>数字资产/支付</x:v>
      </x:c>
      <x:c r="E29" s="96" t="str">
        <x:v>持牌数字资产平台</x:v>
      </x:c>
      <x:c r="F29" s="96" t="str">
        <x:v>香港</x:v>
      </x:c>
      <x:c r="G29" s="96" t="str">
        <x:v>香港上市持牌平台</x:v>
      </x:c>
      <x:c r="H29" s="96" t="str">
        <x:v>P0</x:v>
      </x:c>
      <x:c r="I29" s="96" t="str">
        <x:v>合规/AML/KYC/风控策略/产品</x:v>
      </x:c>
      <x:c r="J29" s="96" t="str">
        <x:v>https://osl.com/en/careers</x:v>
      </x:c>
      <x:c r="K29" s="96" t="str">
        <x:v>官网/LinkedIn/搜索</x:v>
      </x:c>
      <x:c r="L29" s="96" t="str">
        <x:v>暑期仅见LinkedIn</x:v>
      </x:c>
      <x:c r="M29" s="96" t="str">
        <x:v>原Excel种子</x:v>
      </x:c>
      <x:c r="N29" s="96" t="str">
        <x:v>已配置</x:v>
      </x:c>
      <x:c r="O29" s="111"/>
      <x:c r="P29" s="97" t="str"/>
    </x:row>
    <x:row r="30">
      <x:c r="A30" s="96" t="str">
        <x:v>shig</x:v>
      </x:c>
      <x:c r="B30" s="96" t="str">
        <x:v>上海国际集团</x:v>
      </x:c>
      <x:c r="C30" s="96" t="str">
        <x:v>Shanghai International Group</x:v>
      </x:c>
      <x:c r="D30" s="96" t="str">
        <x:v>上海国企</x:v>
      </x:c>
      <x:c r="E30" s="96" t="str">
        <x:v>国有金融资本运营</x:v>
      </x:c>
      <x:c r="F30" s="96" t="str">
        <x:v>上海/香港</x:v>
      </x:c>
      <x:c r="G30" s="96" t="str">
        <x:v>上海市属国企</x:v>
      </x:c>
      <x:c r="H30" s="96" t="str">
        <x:v>P0</x:v>
      </x:c>
      <x:c r="I30" s="96" t="str">
        <x:v>金融基础设施/风险管理/战略/数据分析</x:v>
      </x:c>
      <x:c r="J30" s="96" t="str">
        <x:v>https://www.sigchina.com/</x:v>
      </x:c>
      <x:c r="K30" s="96" t="str">
        <x:v>上海国资委/官网/国聘/搜索</x:v>
      </x:c>
      <x:c r="L30" s="96" t="str">
        <x:v>上海金融国资核心平台</x:v>
      </x:c>
      <x:c r="M30" s="96" t="str">
        <x:v>同类扩展</x:v>
      </x:c>
      <x:c r="N30" s="96" t="str">
        <x:v>已配置</x:v>
      </x:c>
      <x:c r="O30" s="111"/>
      <x:c r="P30" s="97" t="str"/>
    </x:row>
    <x:row r="31">
      <x:c r="A31" s="96" t="str">
        <x:v>stripe</x:v>
      </x:c>
      <x:c r="B31" s="96" t="str">
        <x:v>Stripe</x:v>
      </x:c>
      <x:c r="C31" s="96" t="str">
        <x:v>Stripe</x:v>
      </x:c>
      <x:c r="D31" s="96" t="str">
        <x:v>全球支付/FinTech</x:v>
      </x:c>
      <x:c r="E31" s="96" t="str">
        <x:v>全球支付平台</x:v>
      </x:c>
      <x:c r="F31" s="96" t="str">
        <x:v>上海/香港/纽约</x:v>
      </x:c>
      <x:c r="G31" s="96" t="str">
        <x:v>全球公司</x:v>
      </x:c>
      <x:c r="H31" s="96" t="str">
        <x:v>P1</x:v>
      </x:c>
      <x:c r="I31" s="96" t="str">
        <x:v>支付产品/风控策略/合规/数据分析/运营策略</x:v>
      </x:c>
      <x:c r="J31" s="96" t="str">
        <x:v>https://stripe.com/jobs</x:v>
      </x:c>
      <x:c r="K31" s="96" t="str">
        <x:v>官网/LinkedIn/搜索</x:v>
      </x:c>
      <x:c r="L31" s="96" t="str">
        <x:v>原Excel或同类扩展</x:v>
      </x:c>
      <x:c r="M31" s="96" t="str">
        <x:v>原Excel种子</x:v>
      </x:c>
      <x:c r="N31" s="96" t="str">
        <x:v>已配置</x:v>
      </x:c>
      <x:c r="O31" s="111"/>
      <x:c r="P31" s="97" t="str"/>
    </x:row>
    <x:row r="32">
      <x:c r="A32" s="96" t="str">
        <x:v>paypal</x:v>
      </x:c>
      <x:c r="B32" s="96" t="str">
        <x:v>PayPal</x:v>
      </x:c>
      <x:c r="C32" s="96" t="str">
        <x:v>PayPal</x:v>
      </x:c>
      <x:c r="D32" s="96" t="str">
        <x:v>全球支付/FinTech</x:v>
      </x:c>
      <x:c r="E32" s="96" t="str">
        <x:v>全球支付/钱包</x:v>
      </x:c>
      <x:c r="F32" s="96" t="str">
        <x:v>上海/香港/纽约</x:v>
      </x:c>
      <x:c r="G32" s="96" t="str">
        <x:v>全球公司</x:v>
      </x:c>
      <x:c r="H32" s="96" t="str">
        <x:v>P1</x:v>
      </x:c>
      <x:c r="I32" s="96" t="str">
        <x:v>支付产品/风控策略/合规/数据分析/运营策略</x:v>
      </x:c>
      <x:c r="J32" s="96" t="str">
        <x:v>https://careers.pypl.com/</x:v>
      </x:c>
      <x:c r="K32" s="96" t="str">
        <x:v>官网/LinkedIn/搜索</x:v>
      </x:c>
      <x:c r="L32" s="96" t="str">
        <x:v>原Excel或同类扩展</x:v>
      </x:c>
      <x:c r="M32" s="96" t="str">
        <x:v>原Excel种子</x:v>
      </x:c>
      <x:c r="N32" s="96" t="str">
        <x:v>已配置</x:v>
      </x:c>
      <x:c r="O32" s="111"/>
      <x:c r="P32" s="97" t="str"/>
    </x:row>
    <x:row r="33">
      <x:c r="A33" s="96" t="str">
        <x:v>adyen</x:v>
      </x:c>
      <x:c r="B33" s="96" t="str">
        <x:v>Adyen</x:v>
      </x:c>
      <x:c r="C33" s="96" t="str">
        <x:v>Adyen</x:v>
      </x:c>
      <x:c r="D33" s="96" t="str">
        <x:v>全球支付/FinTech</x:v>
      </x:c>
      <x:c r="E33" s="96" t="str">
        <x:v>全球支付/收单</x:v>
      </x:c>
      <x:c r="F33" s="96" t="str">
        <x:v>上海/香港</x:v>
      </x:c>
      <x:c r="G33" s="96" t="str">
        <x:v>全球公司</x:v>
      </x:c>
      <x:c r="H33" s="96" t="str">
        <x:v>P1</x:v>
      </x:c>
      <x:c r="I33" s="96" t="str">
        <x:v>支付产品/风控策略/合规/数据分析/运营策略</x:v>
      </x:c>
      <x:c r="J33" s="96" t="str">
        <x:v>https://careers.adyen.com/</x:v>
      </x:c>
      <x:c r="K33" s="96" t="str">
        <x:v>官网/LinkedIn/搜索</x:v>
      </x:c>
      <x:c r="L33" s="96" t="str">
        <x:v>原Excel或同类扩展</x:v>
      </x:c>
      <x:c r="M33" s="96" t="str">
        <x:v>原Excel种子</x:v>
      </x:c>
      <x:c r="N33" s="96" t="str">
        <x:v>已配置</x:v>
      </x:c>
      <x:c r="O33" s="111"/>
      <x:c r="P33" s="97" t="str"/>
    </x:row>
    <x:row r="34">
      <x:c r="A34" s="96" t="str">
        <x:v>wise</x:v>
      </x:c>
      <x:c r="B34" s="96" t="str">
        <x:v>Wise</x:v>
      </x:c>
      <x:c r="C34" s="96" t="str">
        <x:v>Wise</x:v>
      </x:c>
      <x:c r="D34" s="96" t="str">
        <x:v>全球支付/FinTech</x:v>
      </x:c>
      <x:c r="E34" s="96" t="str">
        <x:v>跨境汇款/账户</x:v>
      </x:c>
      <x:c r="F34" s="96" t="str">
        <x:v>香港/纽约</x:v>
      </x:c>
      <x:c r="G34" s="96" t="str">
        <x:v>全球公司</x:v>
      </x:c>
      <x:c r="H34" s="96" t="str">
        <x:v>P1</x:v>
      </x:c>
      <x:c r="I34" s="96" t="str">
        <x:v>支付产品/风控策略/合规/数据分析/运营策略</x:v>
      </x:c>
      <x:c r="J34" s="96" t="str">
        <x:v>https://www.wise.jobs/</x:v>
      </x:c>
      <x:c r="K34" s="96" t="str">
        <x:v>官网/LinkedIn/搜索</x:v>
      </x:c>
      <x:c r="L34" s="96" t="str">
        <x:v>原Excel或同类扩展</x:v>
      </x:c>
      <x:c r="M34" s="96" t="str">
        <x:v>同类扩展</x:v>
      </x:c>
      <x:c r="N34" s="96" t="str">
        <x:v>已配置</x:v>
      </x:c>
      <x:c r="O34" s="111"/>
      <x:c r="P34" s="97" t="str"/>
    </x:row>
    <x:row r="35">
      <x:c r="A35" s="96" t="str">
        <x:v>checkout</x:v>
      </x:c>
      <x:c r="B35" s="96" t="str">
        <x:v>Checkout.com</x:v>
      </x:c>
      <x:c r="C35" s="96" t="str">
        <x:v>Checkout.com</x:v>
      </x:c>
      <x:c r="D35" s="96" t="str">
        <x:v>全球支付/FinTech</x:v>
      </x:c>
      <x:c r="E35" s="96" t="str">
        <x:v>全球收单</x:v>
      </x:c>
      <x:c r="F35" s="96" t="str">
        <x:v>香港/上海</x:v>
      </x:c>
      <x:c r="G35" s="96" t="str">
        <x:v>全球公司</x:v>
      </x:c>
      <x:c r="H35" s="96" t="str">
        <x:v>P1</x:v>
      </x:c>
      <x:c r="I35" s="96" t="str">
        <x:v>支付产品/风控策略/合规/数据分析/运营策略</x:v>
      </x:c>
      <x:c r="J35" s="96" t="str">
        <x:v>https://www.checkout.com/careers</x:v>
      </x:c>
      <x:c r="K35" s="96" t="str">
        <x:v>官网/LinkedIn/搜索</x:v>
      </x:c>
      <x:c r="L35" s="96" t="str">
        <x:v>原Excel或同类扩展</x:v>
      </x:c>
      <x:c r="M35" s="96" t="str">
        <x:v>同类扩展</x:v>
      </x:c>
      <x:c r="N35" s="96" t="str">
        <x:v>已配置</x:v>
      </x:c>
      <x:c r="O35" s="111"/>
      <x:c r="P35" s="97" t="str"/>
    </x:row>
    <x:row r="36">
      <x:c r="A36" s="96" t="str">
        <x:v>nium</x:v>
      </x:c>
      <x:c r="B36" s="96" t="str">
        <x:v>Nium</x:v>
      </x:c>
      <x:c r="C36" s="96" t="str">
        <x:v>Nium</x:v>
      </x:c>
      <x:c r="D36" s="96" t="str">
        <x:v>全球支付/FinTech</x:v>
      </x:c>
      <x:c r="E36" s="96" t="str">
        <x:v>全球支付基础设施</x:v>
      </x:c>
      <x:c r="F36" s="96" t="str">
        <x:v>香港/上海</x:v>
      </x:c>
      <x:c r="G36" s="96" t="str">
        <x:v>全球公司</x:v>
      </x:c>
      <x:c r="H36" s="96" t="str">
        <x:v>P1</x:v>
      </x:c>
      <x:c r="I36" s="96" t="str">
        <x:v>支付产品/风控策略/合规/数据分析/运营策略</x:v>
      </x:c>
      <x:c r="J36" s="96" t="str">
        <x:v>https://www.nium.com/careers</x:v>
      </x:c>
      <x:c r="K36" s="96" t="str">
        <x:v>官网/LinkedIn/搜索</x:v>
      </x:c>
      <x:c r="L36" s="96" t="str">
        <x:v>原Excel或同类扩展</x:v>
      </x:c>
      <x:c r="M36" s="96" t="str">
        <x:v>同类扩展</x:v>
      </x:c>
      <x:c r="N36" s="96" t="str">
        <x:v>已配置</x:v>
      </x:c>
      <x:c r="O36" s="111"/>
      <x:c r="P36" s="97" t="str"/>
    </x:row>
    <x:row r="37">
      <x:c r="A37" s="96" t="str">
        <x:v>payoneer</x:v>
      </x:c>
      <x:c r="B37" s="96" t="str">
        <x:v>派安盈Payoneer</x:v>
      </x:c>
      <x:c r="C37" s="96" t="str">
        <x:v>Payoneer</x:v>
      </x:c>
      <x:c r="D37" s="96" t="str">
        <x:v>全球支付/FinTech</x:v>
      </x:c>
      <x:c r="E37" s="96" t="str">
        <x:v>跨境收付</x:v>
      </x:c>
      <x:c r="F37" s="96" t="str">
        <x:v>上海/香港/纽约</x:v>
      </x:c>
      <x:c r="G37" s="96" t="str">
        <x:v>全球公司</x:v>
      </x:c>
      <x:c r="H37" s="96" t="str">
        <x:v>P1</x:v>
      </x:c>
      <x:c r="I37" s="96" t="str">
        <x:v>支付产品/风控策略/合规/数据分析/运营策略</x:v>
      </x:c>
      <x:c r="J37" s="96" t="str">
        <x:v>https://www.payoneer.com/careers/</x:v>
      </x:c>
      <x:c r="K37" s="96" t="str">
        <x:v>官网/LinkedIn/搜索</x:v>
      </x:c>
      <x:c r="L37" s="96" t="str">
        <x:v>原Excel或同类扩展</x:v>
      </x:c>
      <x:c r="M37" s="96" t="str">
        <x:v>原Excel种子</x:v>
      </x:c>
      <x:c r="N37" s="96" t="str">
        <x:v>已配置</x:v>
      </x:c>
      <x:c r="O37" s="111"/>
      <x:c r="P37" s="97" t="str"/>
    </x:row>
    <x:row r="38">
      <x:c r="A38" s="96" t="str">
        <x:v>visa</x:v>
      </x:c>
      <x:c r="B38" s="96" t="str">
        <x:v>Visa</x:v>
      </x:c>
      <x:c r="C38" s="96" t="str">
        <x:v>Visa</x:v>
      </x:c>
      <x:c r="D38" s="96" t="str">
        <x:v>全球支付/FinTech</x:v>
      </x:c>
      <x:c r="E38" s="96" t="str">
        <x:v>银行卡网络</x:v>
      </x:c>
      <x:c r="F38" s="96" t="str">
        <x:v>上海/香港</x:v>
      </x:c>
      <x:c r="G38" s="96" t="str">
        <x:v>全球公司</x:v>
      </x:c>
      <x:c r="H38" s="96" t="str">
        <x:v>P1</x:v>
      </x:c>
      <x:c r="I38" s="96" t="str">
        <x:v>支付产品/风控策略/合规/数据分析/运营策略</x:v>
      </x:c>
      <x:c r="J38" s="96" t="str">
        <x:v>https://corporate.visa.com/en/careers.html</x:v>
      </x:c>
      <x:c r="K38" s="96" t="str">
        <x:v>官网/LinkedIn/搜索</x:v>
      </x:c>
      <x:c r="L38" s="96" t="str">
        <x:v>原Excel或同类扩展</x:v>
      </x:c>
      <x:c r="M38" s="96" t="str">
        <x:v>同类扩展</x:v>
      </x:c>
      <x:c r="N38" s="96" t="str">
        <x:v>已配置</x:v>
      </x:c>
      <x:c r="O38" s="111"/>
      <x:c r="P38" s="97" t="str"/>
    </x:row>
    <x:row r="39">
      <x:c r="A39" s="96" t="str">
        <x:v>mastercard</x:v>
      </x:c>
      <x:c r="B39" s="96" t="str">
        <x:v>Mastercard</x:v>
      </x:c>
      <x:c r="C39" s="96" t="str">
        <x:v>Mastercard</x:v>
      </x:c>
      <x:c r="D39" s="96" t="str">
        <x:v>全球支付/FinTech</x:v>
      </x:c>
      <x:c r="E39" s="96" t="str">
        <x:v>银行卡网络</x:v>
      </x:c>
      <x:c r="F39" s="96" t="str">
        <x:v>上海/香港</x:v>
      </x:c>
      <x:c r="G39" s="96" t="str">
        <x:v>全球公司</x:v>
      </x:c>
      <x:c r="H39" s="96" t="str">
        <x:v>P1</x:v>
      </x:c>
      <x:c r="I39" s="96" t="str">
        <x:v>支付产品/风控策略/合规/数据分析/运营策略</x:v>
      </x:c>
      <x:c r="J39" s="96" t="str">
        <x:v>https://careers.mastercard.com/</x:v>
      </x:c>
      <x:c r="K39" s="96" t="str">
        <x:v>官网/LinkedIn/搜索</x:v>
      </x:c>
      <x:c r="L39" s="96" t="str">
        <x:v>原Excel或同类扩展</x:v>
      </x:c>
      <x:c r="M39" s="96" t="str">
        <x:v>同类扩展</x:v>
      </x:c>
      <x:c r="N39" s="96" t="str">
        <x:v>已配置</x:v>
      </x:c>
      <x:c r="O39" s="111"/>
      <x:c r="P39" s="97" t="str"/>
    </x:row>
    <x:row r="40">
      <x:c r="A40" s="96" t="str">
        <x:v>worldpay</x:v>
      </x:c>
      <x:c r="B40" s="96" t="str">
        <x:v>Worldpay</x:v>
      </x:c>
      <x:c r="C40" s="96" t="str">
        <x:v>Worldpay</x:v>
      </x:c>
      <x:c r="D40" s="96" t="str">
        <x:v>全球支付/FinTech</x:v>
      </x:c>
      <x:c r="E40" s="96" t="str">
        <x:v>全球收单</x:v>
      </x:c>
      <x:c r="F40" s="96" t="str">
        <x:v>香港/上海</x:v>
      </x:c>
      <x:c r="G40" s="96" t="str">
        <x:v>全球公司</x:v>
      </x:c>
      <x:c r="H40" s="96" t="str">
        <x:v>P1</x:v>
      </x:c>
      <x:c r="I40" s="96" t="str">
        <x:v>支付产品/风控策略/合规/数据分析/运营策略</x:v>
      </x:c>
      <x:c r="J40" s="96" t="str">
        <x:v>https://jobs.worldpay.com/</x:v>
      </x:c>
      <x:c r="K40" s="96" t="str">
        <x:v>官网/LinkedIn/搜索</x:v>
      </x:c>
      <x:c r="L40" s="96" t="str">
        <x:v>原Excel或同类扩展</x:v>
      </x:c>
      <x:c r="M40" s="96" t="str">
        <x:v>同类扩展</x:v>
      </x:c>
      <x:c r="N40" s="96" t="str">
        <x:v>已配置</x:v>
      </x:c>
      <x:c r="O40" s="111"/>
      <x:c r="P40" s="97" t="str"/>
    </x:row>
    <x:row r="41">
      <x:c r="A41" s="96" t="str">
        <x:v>rapyd</x:v>
      </x:c>
      <x:c r="B41" s="96" t="str">
        <x:v>Rapyd</x:v>
      </x:c>
      <x:c r="C41" s="96" t="str">
        <x:v>Rapyd</x:v>
      </x:c>
      <x:c r="D41" s="96" t="str">
        <x:v>全球支付/FinTech</x:v>
      </x:c>
      <x:c r="E41" s="96" t="str">
        <x:v>嵌入式金融/支付</x:v>
      </x:c>
      <x:c r="F41" s="96" t="str">
        <x:v>香港</x:v>
      </x:c>
      <x:c r="G41" s="96" t="str">
        <x:v>全球公司</x:v>
      </x:c>
      <x:c r="H41" s="96" t="str">
        <x:v>P1</x:v>
      </x:c>
      <x:c r="I41" s="96" t="str">
        <x:v>支付产品/风控策略/合规/数据分析/运营策略</x:v>
      </x:c>
      <x:c r="J41" s="96" t="str">
        <x:v>https://www.rapyd.net/company/careers/</x:v>
      </x:c>
      <x:c r="K41" s="96" t="str">
        <x:v>官网/LinkedIn/搜索</x:v>
      </x:c>
      <x:c r="L41" s="96" t="str">
        <x:v>原Excel或同类扩展</x:v>
      </x:c>
      <x:c r="M41" s="96" t="str">
        <x:v>同类扩展</x:v>
      </x:c>
      <x:c r="N41" s="96" t="str">
        <x:v>已配置</x:v>
      </x:c>
      <x:c r="O41" s="111"/>
      <x:c r="P41" s="97" t="str"/>
    </x:row>
    <x:row r="42">
      <x:c r="A42" s="96" t="str">
        <x:v>amex</x:v>
      </x:c>
      <x:c r="B42" s="96" t="str">
        <x:v>美国运通</x:v>
      </x:c>
      <x:c r="C42" s="96" t="str">
        <x:v>American Express</x:v>
      </x:c>
      <x:c r="D42" s="96" t="str">
        <x:v>全球支付/FinTech</x:v>
      </x:c>
      <x:c r="E42" s="96" t="str">
        <x:v>卡组织/支付</x:v>
      </x:c>
      <x:c r="F42" s="96" t="str">
        <x:v>上海/香港/纽约</x:v>
      </x:c>
      <x:c r="G42" s="96" t="str">
        <x:v>全球公司</x:v>
      </x:c>
      <x:c r="H42" s="96" t="str">
        <x:v>P1</x:v>
      </x:c>
      <x:c r="I42" s="96" t="str">
        <x:v>支付产品/风控策略/合规/数据分析/运营策略</x:v>
      </x:c>
      <x:c r="J42" s="96" t="str">
        <x:v>https://www.americanexpress.com/en-us/careers/</x:v>
      </x:c>
      <x:c r="K42" s="96" t="str">
        <x:v>官网/LinkedIn/搜索</x:v>
      </x:c>
      <x:c r="L42" s="96" t="str">
        <x:v>原Excel或同类扩展</x:v>
      </x:c>
      <x:c r="M42" s="96" t="str">
        <x:v>原Excel种子</x:v>
      </x:c>
      <x:c r="N42" s="96" t="str">
        <x:v>已配置</x:v>
      </x:c>
      <x:c r="O42" s="111"/>
      <x:c r="P42" s="97" t="str"/>
    </x:row>
    <x:row r="43">
      <x:c r="A43" s="96" t="str">
        <x:v>circle</x:v>
      </x:c>
      <x:c r="B43" s="96" t="str">
        <x:v>Circle</x:v>
      </x:c>
      <x:c r="C43" s="96" t="str">
        <x:v>Circle</x:v>
      </x:c>
      <x:c r="D43" s="96" t="str">
        <x:v>全球支付/FinTech</x:v>
      </x:c>
      <x:c r="E43" s="96" t="str">
        <x:v>稳定币支付基础设施</x:v>
      </x:c>
      <x:c r="F43" s="96" t="str">
        <x:v>香港/纽约</x:v>
      </x:c>
      <x:c r="G43" s="96" t="str">
        <x:v>全球公司</x:v>
      </x:c>
      <x:c r="H43" s="96" t="str">
        <x:v>P1</x:v>
      </x:c>
      <x:c r="I43" s="96" t="str">
        <x:v>支付产品/风控策略/合规/数据分析/运营策略</x:v>
      </x:c>
      <x:c r="J43" s="96" t="str">
        <x:v>https://www.circle.com/careers</x:v>
      </x:c>
      <x:c r="K43" s="96" t="str">
        <x:v>官网/LinkedIn/搜索</x:v>
      </x:c>
      <x:c r="L43" s="96" t="str">
        <x:v>原Excel或同类扩展</x:v>
      </x:c>
      <x:c r="M43" s="96" t="str">
        <x:v>原Excel种子</x:v>
      </x:c>
      <x:c r="N43" s="96" t="str">
        <x:v>已配置</x:v>
      </x:c>
      <x:c r="O43" s="111"/>
      <x:c r="P43" s="97" t="str"/>
    </x:row>
    <x:row r="44">
      <x:c r="A44" s="96" t="str">
        <x:v>coinbase</x:v>
      </x:c>
      <x:c r="B44" s="96" t="str">
        <x:v>Coinbase</x:v>
      </x:c>
      <x:c r="C44" s="96" t="str">
        <x:v>Coinbase</x:v>
      </x:c>
      <x:c r="D44" s="96" t="str">
        <x:v>全球支付/FinTech</x:v>
      </x:c>
      <x:c r="E44" s="96" t="str">
        <x:v>数字资产基础设施</x:v>
      </x:c>
      <x:c r="F44" s="96" t="str">
        <x:v>香港/纽约</x:v>
      </x:c>
      <x:c r="G44" s="96" t="str">
        <x:v>全球公司</x:v>
      </x:c>
      <x:c r="H44" s="96" t="str">
        <x:v>P1</x:v>
      </x:c>
      <x:c r="I44" s="96" t="str">
        <x:v>支付产品/风控策略/合规/数据分析/运营策略</x:v>
      </x:c>
      <x:c r="J44" s="96" t="str">
        <x:v>https://www.coinbase.com/careers/positions</x:v>
      </x:c>
      <x:c r="K44" s="96" t="str">
        <x:v>官网/LinkedIn/搜索</x:v>
      </x:c>
      <x:c r="L44" s="96" t="str">
        <x:v>原Excel或同类扩展</x:v>
      </x:c>
      <x:c r="M44" s="96" t="str">
        <x:v>原Excel种子</x:v>
      </x:c>
      <x:c r="N44" s="96" t="str">
        <x:v>已配置</x:v>
      </x:c>
      <x:c r="O44" s="111"/>
      <x:c r="P44" s="97" t="str"/>
    </x:row>
    <x:row r="45">
      <x:c r="A45" s="96" t="str">
        <x:v>kraken</x:v>
      </x:c>
      <x:c r="B45" s="96" t="str">
        <x:v>Kraken</x:v>
      </x:c>
      <x:c r="C45" s="96" t="str">
        <x:v>Kraken</x:v>
      </x:c>
      <x:c r="D45" s="96" t="str">
        <x:v>全球支付/FinTech</x:v>
      </x:c>
      <x:c r="E45" s="96" t="str">
        <x:v>数字资产基础设施</x:v>
      </x:c>
      <x:c r="F45" s="96" t="str">
        <x:v>香港/纽约</x:v>
      </x:c>
      <x:c r="G45" s="96" t="str">
        <x:v>全球公司</x:v>
      </x:c>
      <x:c r="H45" s="96" t="str">
        <x:v>P1</x:v>
      </x:c>
      <x:c r="I45" s="96" t="str">
        <x:v>支付产品/风控策略/合规/数据分析/运营策略</x:v>
      </x:c>
      <x:c r="J45" s="96" t="str">
        <x:v>https://www.kraken.com/careers</x:v>
      </x:c>
      <x:c r="K45" s="96" t="str">
        <x:v>官网/LinkedIn/搜索</x:v>
      </x:c>
      <x:c r="L45" s="96" t="str">
        <x:v>原Excel或同类扩展</x:v>
      </x:c>
      <x:c r="M45" s="96" t="str">
        <x:v>原Excel种子</x:v>
      </x:c>
      <x:c r="N45" s="96" t="str">
        <x:v>已配置</x:v>
      </x:c>
      <x:c r="O45" s="111"/>
      <x:c r="P45" s="97" t="str"/>
    </x:row>
    <x:row r="46">
      <x:c r="A46" s="96" t="str">
        <x:v>lakala</x:v>
      </x:c>
      <x:c r="B46" s="96" t="str">
        <x:v>拉卡拉</x:v>
      </x:c>
      <x:c r="C46" s="96" t="str">
        <x:v>Lakala</x:v>
      </x:c>
      <x:c r="D46" s="96" t="str">
        <x:v>中国支付/FinTech</x:v>
      </x:c>
      <x:c r="E46" s="96" t="str">
        <x:v>第三方支付</x:v>
      </x:c>
      <x:c r="F46" s="96" t="str">
        <x:v>北京/上海</x:v>
      </x:c>
      <x:c r="G46" s="96" t="str">
        <x:v>私企/持牌机构</x:v>
      </x:c>
      <x:c r="H46" s="96" t="str">
        <x:v>P1</x:v>
      </x:c>
      <x:c r="I46" s="96" t="str">
        <x:v>支付产品/风控策略/合规/数据分析/AI/Agent</x:v>
      </x:c>
      <x:c r="J46" s="96" t="str">
        <x:v>https://www.lakala.com/</x:v>
      </x:c>
      <x:c r="K46" s="96" t="str">
        <x:v>官网/公众号/搜索</x:v>
      </x:c>
      <x:c r="L46" s="96" t="str">
        <x:v>同类型扩展</x:v>
      </x:c>
      <x:c r="M46" s="96" t="str">
        <x:v>原Excel种子</x:v>
      </x:c>
      <x:c r="N46" s="96" t="str">
        <x:v>已配置</x:v>
      </x:c>
      <x:c r="O46" s="111"/>
      <x:c r="P46" s="97" t="str"/>
    </x:row>
    <x:row r="47">
      <x:c r="A47" s="96" t="str">
        <x:v>huifu</x:v>
      </x:c>
      <x:c r="B47" s="96" t="str">
        <x:v>汇付天下</x:v>
      </x:c>
      <x:c r="C47" s="96" t="str">
        <x:v>Huifu Payment</x:v>
      </x:c>
      <x:c r="D47" s="96" t="str">
        <x:v>中国支付/FinTech</x:v>
      </x:c>
      <x:c r="E47" s="96" t="str">
        <x:v>第三方支付/商户服务</x:v>
      </x:c>
      <x:c r="F47" s="96" t="str">
        <x:v>上海</x:v>
      </x:c>
      <x:c r="G47" s="96" t="str">
        <x:v>私企/持牌机构</x:v>
      </x:c>
      <x:c r="H47" s="96" t="str">
        <x:v>P1</x:v>
      </x:c>
      <x:c r="I47" s="96" t="str">
        <x:v>支付产品/风控策略/合规/数据分析/AI/Agent</x:v>
      </x:c>
      <x:c r="J47" s="96" t="str">
        <x:v>https://www.huifu.com/</x:v>
      </x:c>
      <x:c r="K47" s="96" t="str">
        <x:v>官网/公众号/搜索</x:v>
      </x:c>
      <x:c r="L47" s="96" t="str">
        <x:v>同类型扩展</x:v>
      </x:c>
      <x:c r="M47" s="96" t="str">
        <x:v>同类扩展</x:v>
      </x:c>
      <x:c r="N47" s="96" t="str">
        <x:v>已配置</x:v>
      </x:c>
      <x:c r="O47" s="111"/>
      <x:c r="P47" s="97" t="str"/>
    </x:row>
    <x:row r="48">
      <x:c r="A48" s="96" t="str">
        <x:v>allinpay</x:v>
      </x:c>
      <x:c r="B48" s="96" t="str">
        <x:v>通联支付</x:v>
      </x:c>
      <x:c r="C48" s="96" t="str">
        <x:v>Allinpay</x:v>
      </x:c>
      <x:c r="D48" s="96" t="str">
        <x:v>中国支付/FinTech</x:v>
      </x:c>
      <x:c r="E48" s="96" t="str">
        <x:v>第三方支付/清算服务</x:v>
      </x:c>
      <x:c r="F48" s="96" t="str">
        <x:v>上海</x:v>
      </x:c>
      <x:c r="G48" s="96" t="str">
        <x:v>私企/持牌机构</x:v>
      </x:c>
      <x:c r="H48" s="96" t="str">
        <x:v>P1</x:v>
      </x:c>
      <x:c r="I48" s="96" t="str">
        <x:v>支付产品/风控策略/合规/数据分析/AI/Agent</x:v>
      </x:c>
      <x:c r="J48" s="96" t="str">
        <x:v>https://www.allinpay.com/</x:v>
      </x:c>
      <x:c r="K48" s="96" t="str">
        <x:v>官网/公众号/搜索</x:v>
      </x:c>
      <x:c r="L48" s="96" t="str">
        <x:v>同类型扩展</x:v>
      </x:c>
      <x:c r="M48" s="96" t="str">
        <x:v>同类扩展</x:v>
      </x:c>
      <x:c r="N48" s="96" t="str">
        <x:v>已配置</x:v>
      </x:c>
      <x:c r="O48" s="111"/>
      <x:c r="P48" s="97" t="str"/>
    </x:row>
    <x:row r="49">
      <x:c r="A49" s="96" t="str">
        <x:v>yeepay</x:v>
      </x:c>
      <x:c r="B49" s="96" t="str">
        <x:v>易宝支付</x:v>
      </x:c>
      <x:c r="C49" s="96" t="str">
        <x:v>YeePay</x:v>
      </x:c>
      <x:c r="D49" s="96" t="str">
        <x:v>中国支付/FinTech</x:v>
      </x:c>
      <x:c r="E49" s="96" t="str">
        <x:v>第三方支付</x:v>
      </x:c>
      <x:c r="F49" s="96" t="str">
        <x:v>北京/上海</x:v>
      </x:c>
      <x:c r="G49" s="96" t="str">
        <x:v>私企/持牌机构</x:v>
      </x:c>
      <x:c r="H49" s="96" t="str">
        <x:v>P1</x:v>
      </x:c>
      <x:c r="I49" s="96" t="str">
        <x:v>支付产品/风控策略/合规/数据分析/AI/Agent</x:v>
      </x:c>
      <x:c r="J49" s="96" t="str">
        <x:v>https://www.yeepay.com/</x:v>
      </x:c>
      <x:c r="K49" s="96" t="str">
        <x:v>官网/公众号/搜索</x:v>
      </x:c>
      <x:c r="L49" s="96" t="str">
        <x:v>同类型扩展</x:v>
      </x:c>
      <x:c r="M49" s="96" t="str">
        <x:v>同类扩展</x:v>
      </x:c>
      <x:c r="N49" s="96" t="str">
        <x:v>已配置</x:v>
      </x:c>
      <x:c r="O49" s="111"/>
      <x:c r="P49" s="97" t="str"/>
    </x:row>
    <x:row r="50">
      <x:c r="A50" s="96" t="str">
        <x:v>fuiou</x:v>
      </x:c>
      <x:c r="B50" s="96" t="str">
        <x:v>富友支付</x:v>
      </x:c>
      <x:c r="C50" s="96" t="str">
        <x:v>Fuiou Pay</x:v>
      </x:c>
      <x:c r="D50" s="96" t="str">
        <x:v>中国支付/FinTech</x:v>
      </x:c>
      <x:c r="E50" s="96" t="str">
        <x:v>第三方支付</x:v>
      </x:c>
      <x:c r="F50" s="96" t="str">
        <x:v>上海</x:v>
      </x:c>
      <x:c r="G50" s="96" t="str">
        <x:v>私企/持牌机构</x:v>
      </x:c>
      <x:c r="H50" s="96" t="str">
        <x:v>P1</x:v>
      </x:c>
      <x:c r="I50" s="96" t="str">
        <x:v>支付产品/风控策略/合规/数据分析/AI/Agent</x:v>
      </x:c>
      <x:c r="J50" s="96" t="str">
        <x:v>https://www.fuioupay.com/</x:v>
      </x:c>
      <x:c r="K50" s="96" t="str">
        <x:v>官网/公众号/搜索</x:v>
      </x:c>
      <x:c r="L50" s="96" t="str">
        <x:v>同类型扩展</x:v>
      </x:c>
      <x:c r="M50" s="96" t="str">
        <x:v>同类扩展</x:v>
      </x:c>
      <x:c r="N50" s="96" t="str">
        <x:v>已配置</x:v>
      </x:c>
      <x:c r="O50" s="111"/>
      <x:c r="P50" s="97" t="str"/>
    </x:row>
    <x:row r="51">
      <x:c r="A51" s="96" t="str">
        <x:v>oceanpayment</x:v>
      </x:c>
      <x:c r="B51" s="96" t="str">
        <x:v>Oceanpayment钱海</x:v>
      </x:c>
      <x:c r="C51" s="96" t="str">
        <x:v>Oceanpayment</x:v>
      </x:c>
      <x:c r="D51" s="96" t="str">
        <x:v>中国支付/FinTech</x:v>
      </x:c>
      <x:c r="E51" s="96" t="str">
        <x:v>跨境支付</x:v>
      </x:c>
      <x:c r="F51" s="96" t="str">
        <x:v>深圳/香港</x:v>
      </x:c>
      <x:c r="G51" s="96" t="str">
        <x:v>私企/持牌机构</x:v>
      </x:c>
      <x:c r="H51" s="96" t="str">
        <x:v>P1</x:v>
      </x:c>
      <x:c r="I51" s="96" t="str">
        <x:v>支付产品/风控策略/合规/数据分析/AI/Agent</x:v>
      </x:c>
      <x:c r="J51" s="96" t="str">
        <x:v>https://www.oceanpayment.com/careers</x:v>
      </x:c>
      <x:c r="K51" s="96" t="str">
        <x:v>官网/公众号/搜索</x:v>
      </x:c>
      <x:c r="L51" s="96" t="str">
        <x:v>同类型扩展</x:v>
      </x:c>
      <x:c r="M51" s="96" t="str">
        <x:v>同类扩展</x:v>
      </x:c>
      <x:c r="N51" s="96" t="str">
        <x:v>已配置</x:v>
      </x:c>
      <x:c r="O51" s="111"/>
      <x:c r="P51" s="97" t="str"/>
    </x:row>
    <x:row r="52">
      <x:c r="A52" s="96" t="str">
        <x:v>qbit</x:v>
      </x:c>
      <x:c r="B52" s="96" t="str">
        <x:v>Qbit趣比汇</x:v>
      </x:c>
      <x:c r="C52" s="96" t="str">
        <x:v>Qbit</x:v>
      </x:c>
      <x:c r="D52" s="96" t="str">
        <x:v>中国支付/FinTech</x:v>
      </x:c>
      <x:c r="E52" s="96" t="str">
        <x:v>全球企业金融</x:v>
      </x:c>
      <x:c r="F52" s="96" t="str">
        <x:v>上海/杭州</x:v>
      </x:c>
      <x:c r="G52" s="96" t="str">
        <x:v>私企/持牌机构</x:v>
      </x:c>
      <x:c r="H52" s="96" t="str">
        <x:v>P1</x:v>
      </x:c>
      <x:c r="I52" s="96" t="str">
        <x:v>支付产品/风控策略/合规/数据分析/AI/Agent</x:v>
      </x:c>
      <x:c r="J52" s="96" t="str">
        <x:v>https://www.qbitnetwork.com/</x:v>
      </x:c>
      <x:c r="K52" s="96" t="str">
        <x:v>官网/公众号/搜索</x:v>
      </x:c>
      <x:c r="L52" s="96" t="str">
        <x:v>同类型扩展</x:v>
      </x:c>
      <x:c r="M52" s="96" t="str">
        <x:v>同类扩展</x:v>
      </x:c>
      <x:c r="N52" s="96" t="str">
        <x:v>已配置</x:v>
      </x:c>
      <x:c r="O52" s="111"/>
      <x:c r="P52" s="97" t="str"/>
    </x:row>
    <x:row r="53">
      <x:c r="A53" s="96" t="str">
        <x:v>dowsure</x:v>
      </x:c>
      <x:c r="B53" s="96" t="str">
        <x:v>Dowsure豆沙包</x:v>
      </x:c>
      <x:c r="C53" s="96" t="str">
        <x:v>Dowsure</x:v>
      </x:c>
      <x:c r="D53" s="96" t="str">
        <x:v>中国支付/FinTech</x:v>
      </x:c>
      <x:c r="E53" s="96" t="str">
        <x:v>跨境电商保险/支付风控</x:v>
      </x:c>
      <x:c r="F53" s="96" t="str">
        <x:v>上海/深圳</x:v>
      </x:c>
      <x:c r="G53" s="96" t="str">
        <x:v>私企/持牌机构</x:v>
      </x:c>
      <x:c r="H53" s="96" t="str">
        <x:v>P1</x:v>
      </x:c>
      <x:c r="I53" s="96" t="str">
        <x:v>支付产品/风控策略/合规/数据分析/AI/Agent</x:v>
      </x:c>
      <x:c r="J53" s="96" t="str">
        <x:v>https://www.dowsure.com/</x:v>
      </x:c>
      <x:c r="K53" s="96" t="str">
        <x:v>官网/公众号/搜索</x:v>
      </x:c>
      <x:c r="L53" s="96" t="str">
        <x:v>同类型扩展</x:v>
      </x:c>
      <x:c r="M53" s="96" t="str">
        <x:v>同类扩展</x:v>
      </x:c>
      <x:c r="N53" s="96" t="str">
        <x:v>已配置</x:v>
      </x:c>
      <x:c r="O53" s="111"/>
      <x:c r="P53" s="97" t="str"/>
    </x:row>
    <x:row r="54">
      <x:c r="A54" s="96" t="str">
        <x:v>mybank</x:v>
      </x:c>
      <x:c r="B54" s="96" t="str">
        <x:v>网商银行</x:v>
      </x:c>
      <x:c r="C54" s="96" t="str">
        <x:v>MYbank</x:v>
      </x:c>
      <x:c r="D54" s="96" t="str">
        <x:v>中国支付/FinTech</x:v>
      </x:c>
      <x:c r="E54" s="96" t="str">
        <x:v>数字银行</x:v>
      </x:c>
      <x:c r="F54" s="96" t="str">
        <x:v>杭州/上海</x:v>
      </x:c>
      <x:c r="G54" s="96" t="str">
        <x:v>私企/持牌机构</x:v>
      </x:c>
      <x:c r="H54" s="96" t="str">
        <x:v>P1</x:v>
      </x:c>
      <x:c r="I54" s="96" t="str">
        <x:v>支付产品/风控策略/合规/数据分析/AI/Agent</x:v>
      </x:c>
      <x:c r="J54" s="96" t="str">
        <x:v>https://job.mybank.cn/</x:v>
      </x:c>
      <x:c r="K54" s="96" t="str">
        <x:v>官网/公众号/搜索</x:v>
      </x:c>
      <x:c r="L54" s="96" t="str">
        <x:v>同类型扩展</x:v>
      </x:c>
      <x:c r="M54" s="96" t="str">
        <x:v>原Excel种子</x:v>
      </x:c>
      <x:c r="N54" s="96" t="str">
        <x:v>已配置</x:v>
      </x:c>
      <x:c r="O54" s="111"/>
      <x:c r="P54" s="97" t="str"/>
    </x:row>
    <x:row r="55">
      <x:c r="A55" s="96" t="str">
        <x:v>webank</x:v>
      </x:c>
      <x:c r="B55" s="96" t="str">
        <x:v>微众银行</x:v>
      </x:c>
      <x:c r="C55" s="96" t="str">
        <x:v>WeBank</x:v>
      </x:c>
      <x:c r="D55" s="96" t="str">
        <x:v>中国支付/FinTech</x:v>
      </x:c>
      <x:c r="E55" s="96" t="str">
        <x:v>数字银行</x:v>
      </x:c>
      <x:c r="F55" s="96" t="str">
        <x:v>深圳</x:v>
      </x:c>
      <x:c r="G55" s="96" t="str">
        <x:v>私企/持牌机构</x:v>
      </x:c>
      <x:c r="H55" s="96" t="str">
        <x:v>P1</x:v>
      </x:c>
      <x:c r="I55" s="96" t="str">
        <x:v>支付产品/风控策略/合规/数据分析/AI/Agent</x:v>
      </x:c>
      <x:c r="J55" s="96" t="str">
        <x:v>https://career.webank.com/</x:v>
      </x:c>
      <x:c r="K55" s="96" t="str">
        <x:v>官网/公众号/搜索</x:v>
      </x:c>
      <x:c r="L55" s="96" t="str">
        <x:v>同类型扩展</x:v>
      </x:c>
      <x:c r="M55" s="96" t="str">
        <x:v>原Excel种子</x:v>
      </x:c>
      <x:c r="N55" s="96" t="str">
        <x:v>已配置</x:v>
      </x:c>
      <x:c r="O55" s="111"/>
      <x:c r="P55" s="97" t="str"/>
    </x:row>
    <x:row r="56">
      <x:c r="A56" s="96" t="str">
        <x:v>antgroup</x:v>
      </x:c>
      <x:c r="B56" s="96" t="str">
        <x:v>蚂蚁集团</x:v>
      </x:c>
      <x:c r="C56" s="96" t="str">
        <x:v>Ant Group</x:v>
      </x:c>
      <x:c r="D56" s="96" t="str">
        <x:v>中国支付/FinTech</x:v>
      </x:c>
      <x:c r="E56" s="96" t="str">
        <x:v>平台/支付</x:v>
      </x:c>
      <x:c r="F56" s="96" t="str">
        <x:v>上海/杭州</x:v>
      </x:c>
      <x:c r="G56" s="96" t="str">
        <x:v>私企/持牌机构</x:v>
      </x:c>
      <x:c r="H56" s="96" t="str">
        <x:v>P1</x:v>
      </x:c>
      <x:c r="I56" s="96" t="str">
        <x:v>支付产品/风控策略/合规/数据分析/AI/Agent</x:v>
      </x:c>
      <x:c r="J56" s="96" t="str">
        <x:v>https://talent.antgroup.com/</x:v>
      </x:c>
      <x:c r="K56" s="96" t="str">
        <x:v>官网/公众号/搜索</x:v>
      </x:c>
      <x:c r="L56" s="96" t="str">
        <x:v>同类型扩展</x:v>
      </x:c>
      <x:c r="M56" s="96" t="str">
        <x:v>同类扩展</x:v>
      </x:c>
      <x:c r="N56" s="96" t="str">
        <x:v>已配置</x:v>
      </x:c>
      <x:c r="O56" s="111"/>
      <x:c r="P56" s="97" t="str"/>
    </x:row>
    <x:row r="57">
      <x:c r="A57" s="96" t="str">
        <x:v>tenpay</x:v>
      </x:c>
      <x:c r="B57" s="96" t="str">
        <x:v>财付通/微信支付</x:v>
      </x:c>
      <x:c r="C57" s="96" t="str">
        <x:v>Tenpay</x:v>
      </x:c>
      <x:c r="D57" s="96" t="str">
        <x:v>中国支付/FinTech</x:v>
      </x:c>
      <x:c r="E57" s="96" t="str">
        <x:v>平台/支付</x:v>
      </x:c>
      <x:c r="F57" s="96" t="str">
        <x:v>深圳/上海</x:v>
      </x:c>
      <x:c r="G57" s="96" t="str">
        <x:v>私企/持牌机构</x:v>
      </x:c>
      <x:c r="H57" s="96" t="str">
        <x:v>P1</x:v>
      </x:c>
      <x:c r="I57" s="96" t="str">
        <x:v>支付产品/风控策略/合规/数据分析/AI/Agent</x:v>
      </x:c>
      <x:c r="J57" s="96" t="str">
        <x:v>https://join.qq.com/</x:v>
      </x:c>
      <x:c r="K57" s="96" t="str">
        <x:v>官网/公众号/搜索</x:v>
      </x:c>
      <x:c r="L57" s="96" t="str">
        <x:v>同类型扩展</x:v>
      </x:c>
      <x:c r="M57" s="96" t="str">
        <x:v>同类扩展</x:v>
      </x:c>
      <x:c r="N57" s="96" t="str">
        <x:v>已配置</x:v>
      </x:c>
      <x:c r="O57" s="111"/>
      <x:c r="P57" s="97" t="str"/>
    </x:row>
    <x:row r="58">
      <x:c r="A58" s="96" t="str">
        <x:v>jdtech</x:v>
      </x:c>
      <x:c r="B58" s="96" t="str">
        <x:v>京东科技</x:v>
      </x:c>
      <x:c r="C58" s="96" t="str">
        <x:v>JD Technology</x:v>
      </x:c>
      <x:c r="D58" s="96" t="str">
        <x:v>中国支付/FinTech</x:v>
      </x:c>
      <x:c r="E58" s="96" t="str">
        <x:v>平台/支付</x:v>
      </x:c>
      <x:c r="F58" s="96" t="str">
        <x:v>北京/上海</x:v>
      </x:c>
      <x:c r="G58" s="96" t="str">
        <x:v>私企/持牌机构</x:v>
      </x:c>
      <x:c r="H58" s="96" t="str">
        <x:v>P1</x:v>
      </x:c>
      <x:c r="I58" s="96" t="str">
        <x:v>支付产品/风控策略/合规/数据分析/AI/Agent</x:v>
      </x:c>
      <x:c r="J58" s="96" t="str">
        <x:v>https://campus.jd.com/</x:v>
      </x:c>
      <x:c r="K58" s="96" t="str">
        <x:v>官网/公众号/搜索</x:v>
      </x:c>
      <x:c r="L58" s="96" t="str">
        <x:v>同类型扩展</x:v>
      </x:c>
      <x:c r="M58" s="96" t="str">
        <x:v>同类扩展</x:v>
      </x:c>
      <x:c r="N58" s="96" t="str">
        <x:v>已配置</x:v>
      </x:c>
      <x:c r="O58" s="111"/>
      <x:c r="P58" s="97" t="str"/>
    </x:row>
    <x:row r="59">
      <x:c r="A59" s="96" t="str">
        <x:v>duxiaoman</x:v>
      </x:c>
      <x:c r="B59" s="96" t="str">
        <x:v>度小满</x:v>
      </x:c>
      <x:c r="C59" s="96" t="str">
        <x:v>Du Xiaoman</x:v>
      </x:c>
      <x:c r="D59" s="96" t="str">
        <x:v>中国支付/FinTech</x:v>
      </x:c>
      <x:c r="E59" s="96" t="str">
        <x:v>金融科技</x:v>
      </x:c>
      <x:c r="F59" s="96" t="str">
        <x:v>北京/上海</x:v>
      </x:c>
      <x:c r="G59" s="96" t="str">
        <x:v>私企/持牌机构</x:v>
      </x:c>
      <x:c r="H59" s="96" t="str">
        <x:v>P1</x:v>
      </x:c>
      <x:c r="I59" s="96" t="str">
        <x:v>支付产品/风控策略/合规/数据分析/AI/Agent</x:v>
      </x:c>
      <x:c r="J59" s="96" t="str">
        <x:v>https://campus.duxiaoman.com/</x:v>
      </x:c>
      <x:c r="K59" s="96" t="str">
        <x:v>官网/公众号/搜索</x:v>
      </x:c>
      <x:c r="L59" s="96" t="str">
        <x:v>同类型扩展</x:v>
      </x:c>
      <x:c r="M59" s="96" t="str">
        <x:v>同类扩展</x:v>
      </x:c>
      <x:c r="N59" s="96" t="str">
        <x:v>已配置</x:v>
      </x:c>
      <x:c r="O59" s="111"/>
      <x:c r="P59" s="97" t="str"/>
    </x:row>
    <x:row r="60">
      <x:c r="A60" s="96" t="str">
        <x:v>oneconnect</x:v>
      </x:c>
      <x:c r="B60" s="96" t="str">
        <x:v>金融壹账通</x:v>
      </x:c>
      <x:c r="C60" s="96" t="str">
        <x:v>OneConnect</x:v>
      </x:c>
      <x:c r="D60" s="96" t="str">
        <x:v>中国支付/FinTech</x:v>
      </x:c>
      <x:c r="E60" s="96" t="str">
        <x:v>金融科技</x:v>
      </x:c>
      <x:c r="F60" s="96" t="str">
        <x:v>上海/深圳</x:v>
      </x:c>
      <x:c r="G60" s="96" t="str">
        <x:v>私企/持牌机构</x:v>
      </x:c>
      <x:c r="H60" s="96" t="str">
        <x:v>P1</x:v>
      </x:c>
      <x:c r="I60" s="96" t="str">
        <x:v>支付产品/风控策略/合规/数据分析/AI/Agent</x:v>
      </x:c>
      <x:c r="J60" s="96" t="str">
        <x:v>https://www.ocft.com/careers</x:v>
      </x:c>
      <x:c r="K60" s="96" t="str">
        <x:v>官网/公众号/搜索</x:v>
      </x:c>
      <x:c r="L60" s="96" t="str">
        <x:v>同类型扩展</x:v>
      </x:c>
      <x:c r="M60" s="96" t="str">
        <x:v>同类扩展</x:v>
      </x:c>
      <x:c r="N60" s="96" t="str">
        <x:v>已配置</x:v>
      </x:c>
      <x:c r="O60" s="111"/>
      <x:c r="P60" s="97" t="str"/>
    </x:row>
    <x:row r="61">
      <x:c r="A61" s="96" t="str">
        <x:v>ccdc</x:v>
      </x:c>
      <x:c r="B61" s="96" t="str">
        <x:v>中央国债登记结算</x:v>
      </x:c>
      <x:c r="C61" s="96" t="str">
        <x:v>China Central Depository &amp; Clearing</x:v>
      </x:c>
      <x:c r="D61" s="96" t="str">
        <x:v>金融基础设施/上海国企</x:v>
      </x:c>
      <x:c r="E61" s="96" t="str">
        <x:v>债券登记托管结算</x:v>
      </x:c>
      <x:c r="F61" s="96" t="str">
        <x:v>上海</x:v>
      </x:c>
      <x:c r="G61" s="96" t="str">
        <x:v>央行系统金融基础设施</x:v>
      </x:c>
      <x:c r="H61" s="96" t="str">
        <x:v>P1</x:v>
      </x:c>
      <x:c r="I61" s="96" t="str">
        <x:v>金融基础设施/风险管理/数据分析/产品/战略</x:v>
      </x:c>
      <x:c r="J61" s="96" t="str">
        <x:v>https://www.gzw.sh.gov.cn/shgzw_xxgk_cqzp/index.html</x:v>
      </x:c>
      <x:c r="K61" s="96" t="str">
        <x:v>官网/上海国资委/国聘/公众号/搜索</x:v>
      </x:c>
      <x:c r="L61" s="96" t="str">
        <x:v>上海国企/基础设施扩展</x:v>
      </x:c>
      <x:c r="M61" s="96" t="str">
        <x:v>原Excel种子</x:v>
      </x:c>
      <x:c r="N61" s="96" t="str">
        <x:v>已配置</x:v>
      </x:c>
      <x:c r="O61" s="111"/>
      <x:c r="P61" s="97" t="str"/>
    </x:row>
    <x:row r="62">
      <x:c r="A62" s="96" t="str">
        <x:v>csdc</x:v>
      </x:c>
      <x:c r="B62" s="96" t="str">
        <x:v>中国结算</x:v>
      </x:c>
      <x:c r="C62" s="96" t="str">
        <x:v>China Securities Depository and Clearing</x:v>
      </x:c>
      <x:c r="D62" s="96" t="str">
        <x:v>金融基础设施/上海国企</x:v>
      </x:c>
      <x:c r="E62" s="96" t="str">
        <x:v>证券登记结算</x:v>
      </x:c>
      <x:c r="F62" s="96" t="str">
        <x:v>上海</x:v>
      </x:c>
      <x:c r="G62" s="96" t="str">
        <x:v>金融市场基础设施</x:v>
      </x:c>
      <x:c r="H62" s="96" t="str">
        <x:v>P1</x:v>
      </x:c>
      <x:c r="I62" s="96" t="str">
        <x:v>金融基础设施/风险管理/数据分析/产品/战略</x:v>
      </x:c>
      <x:c r="J62" s="96" t="str">
        <x:v>https://www.gzw.sh.gov.cn/shgzw_xxgk_cqzp/index.html</x:v>
      </x:c>
      <x:c r="K62" s="96" t="str">
        <x:v>官网/上海国资委/国聘/公众号/搜索</x:v>
      </x:c>
      <x:c r="L62" s="96" t="str">
        <x:v>上海国企/基础设施扩展</x:v>
      </x:c>
      <x:c r="M62" s="96" t="str">
        <x:v>原Excel种子</x:v>
      </x:c>
      <x:c r="N62" s="96" t="str">
        <x:v>已配置</x:v>
      </x:c>
      <x:c r="O62" s="111"/>
      <x:c r="P62" s="97" t="str"/>
    </x:row>
    <x:row r="63">
      <x:c r="A63" s="96" t="str">
        <x:v>sse</x:v>
      </x:c>
      <x:c r="B63" s="96" t="str">
        <x:v>上海证券交易所</x:v>
      </x:c>
      <x:c r="C63" s="96" t="str">
        <x:v>Shanghai Stock Exchange</x:v>
      </x:c>
      <x:c r="D63" s="96" t="str">
        <x:v>金融基础设施/上海国企</x:v>
      </x:c>
      <x:c r="E63" s="96" t="str">
        <x:v>证券交易基础设施</x:v>
      </x:c>
      <x:c r="F63" s="96" t="str">
        <x:v>上海</x:v>
      </x:c>
      <x:c r="G63" s="96" t="str">
        <x:v>金融市场基础设施</x:v>
      </x:c>
      <x:c r="H63" s="96" t="str">
        <x:v>P1</x:v>
      </x:c>
      <x:c r="I63" s="96" t="str">
        <x:v>金融基础设施/风险管理/数据分析/产品/战略</x:v>
      </x:c>
      <x:c r="J63" s="96" t="str">
        <x:v>https://www.gzw.sh.gov.cn/shgzw_xxgk_cqzp/index.html</x:v>
      </x:c>
      <x:c r="K63" s="96" t="str">
        <x:v>官网/上海国资委/国聘/公众号/搜索</x:v>
      </x:c>
      <x:c r="L63" s="96" t="str">
        <x:v>上海国企/基础设施扩展</x:v>
      </x:c>
      <x:c r="M63" s="96" t="str">
        <x:v>原Excel种子</x:v>
      </x:c>
      <x:c r="N63" s="96" t="str">
        <x:v>已配置</x:v>
      </x:c>
      <x:c r="O63" s="111"/>
      <x:c r="P63" s="97" t="str"/>
    </x:row>
    <x:row r="64">
      <x:c r="A64" s="96" t="str">
        <x:v>safe</x:v>
      </x:c>
      <x:c r="B64" s="96" t="str">
        <x:v>国家外汇管理局</x:v>
      </x:c>
      <x:c r="C64" s="96" t="str">
        <x:v>SAFE</x:v>
      </x:c>
      <x:c r="D64" s="96" t="str">
        <x:v>金融基础设施/上海国企</x:v>
      </x:c>
      <x:c r="E64" s="96" t="str">
        <x:v>跨境资本与外汇管理</x:v>
      </x:c>
      <x:c r="F64" s="96" t="str">
        <x:v>上海</x:v>
      </x:c>
      <x:c r="G64" s="96" t="str">
        <x:v>国家机关/事业单位</x:v>
      </x:c>
      <x:c r="H64" s="96" t="str">
        <x:v>P1</x:v>
      </x:c>
      <x:c r="I64" s="96" t="str">
        <x:v>金融基础设施/风险管理/数据分析/产品/战略</x:v>
      </x:c>
      <x:c r="J64" s="96" t="str">
        <x:v>https://www.gzw.sh.gov.cn/shgzw_xxgk_cqzp/index.html</x:v>
      </x:c>
      <x:c r="K64" s="96" t="str">
        <x:v>官网/上海国资委/国聘/公众号/搜索</x:v>
      </x:c>
      <x:c r="L64" s="96" t="str">
        <x:v>上海国企/基础设施扩展</x:v>
      </x:c>
      <x:c r="M64" s="96" t="str">
        <x:v>原Excel种子</x:v>
      </x:c>
      <x:c r="N64" s="96" t="str">
        <x:v>已配置</x:v>
      </x:c>
      <x:c r="O64" s="111"/>
      <x:c r="P64" s="97" t="str"/>
    </x:row>
    <x:row r="65">
      <x:c r="A65" s="96" t="str">
        <x:v>shfe</x:v>
      </x:c>
      <x:c r="B65" s="96" t="str">
        <x:v>上海期货交易所</x:v>
      </x:c>
      <x:c r="C65" s="96" t="str">
        <x:v>Shanghai Futures Exchange</x:v>
      </x:c>
      <x:c r="D65" s="96" t="str">
        <x:v>金融基础设施/上海国企</x:v>
      </x:c>
      <x:c r="E65" s="96" t="str">
        <x:v>衍生品交易基础设施</x:v>
      </x:c>
      <x:c r="F65" s="96" t="str">
        <x:v>上海</x:v>
      </x:c>
      <x:c r="G65" s="96" t="str">
        <x:v>金融市场基础设施</x:v>
      </x:c>
      <x:c r="H65" s="96" t="str">
        <x:v>P1</x:v>
      </x:c>
      <x:c r="I65" s="96" t="str">
        <x:v>金融基础设施/风险管理/数据分析/产品/战略</x:v>
      </x:c>
      <x:c r="J65" s="96" t="str">
        <x:v>https://www.gzw.sh.gov.cn/shgzw_xxgk_cqzp/index.html</x:v>
      </x:c>
      <x:c r="K65" s="96" t="str">
        <x:v>官网/上海国资委/国聘/公众号/搜索</x:v>
      </x:c>
      <x:c r="L65" s="96" t="str">
        <x:v>上海国企/基础设施扩展</x:v>
      </x:c>
      <x:c r="M65" s="96" t="str">
        <x:v>同类扩展</x:v>
      </x:c>
      <x:c r="N65" s="96" t="str">
        <x:v>已配置</x:v>
      </x:c>
      <x:c r="O65" s="111"/>
      <x:c r="P65" s="97" t="str"/>
    </x:row>
    <x:row r="66">
      <x:c r="A66" s="96" t="str">
        <x:v>ine</x:v>
      </x:c>
      <x:c r="B66" s="96" t="str">
        <x:v>上海国际能源交易中心</x:v>
      </x:c>
      <x:c r="C66" s="96" t="str">
        <x:v>INE</x:v>
      </x:c>
      <x:c r="D66" s="96" t="str">
        <x:v>金融基础设施/上海国企</x:v>
      </x:c>
      <x:c r="E66" s="96" t="str">
        <x:v>国际化期货交易平台</x:v>
      </x:c>
      <x:c r="F66" s="96" t="str">
        <x:v>上海</x:v>
      </x:c>
      <x:c r="G66" s="96" t="str">
        <x:v>上期所子公司</x:v>
      </x:c>
      <x:c r="H66" s="96" t="str">
        <x:v>P1</x:v>
      </x:c>
      <x:c r="I66" s="96" t="str">
        <x:v>金融基础设施/风险管理/数据分析/产品/战略</x:v>
      </x:c>
      <x:c r="J66" s="96" t="str">
        <x:v>https://www.gzw.sh.gov.cn/shgzw_xxgk_cqzp/index.html</x:v>
      </x:c>
      <x:c r="K66" s="96" t="str">
        <x:v>官网/上海国资委/国聘/公众号/搜索</x:v>
      </x:c>
      <x:c r="L66" s="96" t="str">
        <x:v>上海国企/基础设施扩展</x:v>
      </x:c>
      <x:c r="M66" s="96" t="str">
        <x:v>同类扩展</x:v>
      </x:c>
      <x:c r="N66" s="96" t="str">
        <x:v>已配置</x:v>
      </x:c>
      <x:c r="O66" s="111"/>
      <x:c r="P66" s="97" t="str"/>
    </x:row>
    <x:row r="67">
      <x:c r="A67" s="96" t="str">
        <x:v>suaee</x:v>
      </x:c>
      <x:c r="B67" s="96" t="str">
        <x:v>上海联合产权交易所</x:v>
      </x:c>
      <x:c r="C67" s="96" t="str">
        <x:v>Shanghai United Assets and Equity Exchange</x:v>
      </x:c>
      <x:c r="D67" s="96" t="str">
        <x:v>金融基础设施/上海国企</x:v>
      </x:c>
      <x:c r="E67" s="96" t="str">
        <x:v>产权与要素交易</x:v>
      </x:c>
      <x:c r="F67" s="96" t="str">
        <x:v>上海</x:v>
      </x:c>
      <x:c r="G67" s="96" t="str">
        <x:v>上海市属国企</x:v>
      </x:c>
      <x:c r="H67" s="96" t="str">
        <x:v>P1</x:v>
      </x:c>
      <x:c r="I67" s="96" t="str">
        <x:v>金融基础设施/风险管理/数据分析/产品/战略</x:v>
      </x:c>
      <x:c r="J67" s="96" t="str">
        <x:v>https://www.gzw.sh.gov.cn/shgzw_xxgk_cqzp/index.html</x:v>
      </x:c>
      <x:c r="K67" s="96" t="str">
        <x:v>官网/上海国资委/国聘/公众号/搜索</x:v>
      </x:c>
      <x:c r="L67" s="96" t="str">
        <x:v>上海国企/基础设施扩展</x:v>
      </x:c>
      <x:c r="M67" s="96" t="str">
        <x:v>同类扩展</x:v>
      </x:c>
      <x:c r="N67" s="96" t="str">
        <x:v>已配置</x:v>
      </x:c>
      <x:c r="O67" s="111"/>
      <x:c r="P67" s="97" t="str"/>
    </x:row>
    <x:row r="68">
      <x:c r="A68" s="96" t="str">
        <x:v>ssci</x:v>
      </x:c>
      <x:c r="B68" s="96" t="str">
        <x:v>上海国有资本投资</x:v>
      </x:c>
      <x:c r="C68" s="96" t="str">
        <x:v>Shanghai State-owned Capital Investment</x:v>
      </x:c>
      <x:c r="D68" s="96" t="str">
        <x:v>金融基础设施/上海国企</x:v>
      </x:c>
      <x:c r="E68" s="96" t="str">
        <x:v>国有资本投资运营</x:v>
      </x:c>
      <x:c r="F68" s="96" t="str">
        <x:v>上海</x:v>
      </x:c>
      <x:c r="G68" s="96" t="str">
        <x:v>上海市属国企</x:v>
      </x:c>
      <x:c r="H68" s="96" t="str">
        <x:v>P1</x:v>
      </x:c>
      <x:c r="I68" s="96" t="str">
        <x:v>金融基础设施/风险管理/数据分析/产品/战略</x:v>
      </x:c>
      <x:c r="J68" s="96" t="str">
        <x:v>https://www.gzw.sh.gov.cn/shgzw_xxgk_cqzp/index.html</x:v>
      </x:c>
      <x:c r="K68" s="96" t="str">
        <x:v>官网/上海国资委/国聘/公众号/搜索</x:v>
      </x:c>
      <x:c r="L68" s="96" t="str">
        <x:v>上海国企/基础设施扩展</x:v>
      </x:c>
      <x:c r="M68" s="96" t="str">
        <x:v>同类扩展</x:v>
      </x:c>
      <x:c r="N68" s="96" t="str">
        <x:v>已配置</x:v>
      </x:c>
      <x:c r="O68" s="111"/>
      <x:c r="P68" s="97" t="str"/>
    </x:row>
    <x:row r="69">
      <x:c r="A69" s="96" t="str">
        <x:v>guosheng</x:v>
      </x:c>
      <x:c r="B69" s="96" t="str">
        <x:v>上海国盛集团</x:v>
      </x:c>
      <x:c r="C69" s="96" t="str">
        <x:v>Shanghai Guosheng Group</x:v>
      </x:c>
      <x:c r="D69" s="96" t="str">
        <x:v>金融基础设施/上海国企</x:v>
      </x:c>
      <x:c r="E69" s="96" t="str">
        <x:v>国有资本运营</x:v>
      </x:c>
      <x:c r="F69" s="96" t="str">
        <x:v>上海</x:v>
      </x:c>
      <x:c r="G69" s="96" t="str">
        <x:v>上海市属国企</x:v>
      </x:c>
      <x:c r="H69" s="96" t="str">
        <x:v>P1</x:v>
      </x:c>
      <x:c r="I69" s="96" t="str">
        <x:v>金融基础设施/风险管理/数据分析/产品/战略</x:v>
      </x:c>
      <x:c r="J69" s="96" t="str">
        <x:v>https://www.gzw.sh.gov.cn/shgzw_xxgk_cqzp/index.html</x:v>
      </x:c>
      <x:c r="K69" s="96" t="str">
        <x:v>官网/上海国资委/国聘/公众号/搜索</x:v>
      </x:c>
      <x:c r="L69" s="96" t="str">
        <x:v>上海国企/基础设施扩展</x:v>
      </x:c>
      <x:c r="M69" s="96" t="str">
        <x:v>同类扩展</x:v>
      </x:c>
      <x:c r="N69" s="96" t="str">
        <x:v>已配置</x:v>
      </x:c>
      <x:c r="O69" s="111"/>
      <x:c r="P69" s="97" t="str"/>
    </x:row>
    <x:row r="70">
      <x:c r="A70" s="96" t="str">
        <x:v>guomao</x:v>
      </x:c>
      <x:c r="B70" s="96" t="str">
        <x:v>上海国茂控股</x:v>
      </x:c>
      <x:c r="C70" s="96" t="str">
        <x:v>Shanghai Guomao Holdings</x:v>
      </x:c>
      <x:c r="D70" s="96" t="str">
        <x:v>金融基础设施/上海国企</x:v>
      </x:c>
      <x:c r="E70" s="96" t="str">
        <x:v>大宗商品/金融投资/风控</x:v>
      </x:c>
      <x:c r="F70" s="96" t="str">
        <x:v>上海</x:v>
      </x:c>
      <x:c r="G70" s="96" t="str">
        <x:v>上海市属国企</x:v>
      </x:c>
      <x:c r="H70" s="96" t="str">
        <x:v>P1</x:v>
      </x:c>
      <x:c r="I70" s="96" t="str">
        <x:v>金融基础设施/风险管理/数据分析/产品/战略</x:v>
      </x:c>
      <x:c r="J70" s="96" t="str">
        <x:v>https://www.gzw.sh.gov.cn/shgzw_xxgk_cqzp/index.html</x:v>
      </x:c>
      <x:c r="K70" s="96" t="str">
        <x:v>官网/上海国资委/国聘/公众号/搜索</x:v>
      </x:c>
      <x:c r="L70" s="96" t="str">
        <x:v>上海国企/基础设施扩展</x:v>
      </x:c>
      <x:c r="M70" s="96" t="str">
        <x:v>同类扩展</x:v>
      </x:c>
      <x:c r="N70" s="96" t="str">
        <x:v>已配置</x:v>
      </x:c>
      <x:c r="O70" s="111"/>
      <x:c r="P70" s="97" t="str"/>
    </x:row>
    <x:row r="71">
      <x:c r="A71" s="96" t="str">
        <x:v>bankofshanghai</x:v>
      </x:c>
      <x:c r="B71" s="96" t="str">
        <x:v>上海银行</x:v>
      </x:c>
      <x:c r="C71" s="96" t="str">
        <x:v>Bank of Shanghai</x:v>
      </x:c>
      <x:c r="D71" s="96" t="str">
        <x:v>金融基础设施/上海国企</x:v>
      </x:c>
      <x:c r="E71" s="96" t="str">
        <x:v>本地国资银行/金融科技</x:v>
      </x:c>
      <x:c r="F71" s="96" t="str">
        <x:v>上海</x:v>
      </x:c>
      <x:c r="G71" s="96" t="str">
        <x:v>上海国资控股银行</x:v>
      </x:c>
      <x:c r="H71" s="96" t="str">
        <x:v>P1</x:v>
      </x:c>
      <x:c r="I71" s="96" t="str">
        <x:v>金融基础设施/风险管理/数据分析/产品/战略</x:v>
      </x:c>
      <x:c r="J71" s="96" t="str">
        <x:v>https://www.gzw.sh.gov.cn/shgzw_xxgk_cqzp/index.html</x:v>
      </x:c>
      <x:c r="K71" s="96" t="str">
        <x:v>官网/上海国资委/国聘/公众号/搜索</x:v>
      </x:c>
      <x:c r="L71" s="96" t="str">
        <x:v>上海国企/基础设施扩展</x:v>
      </x:c>
      <x:c r="M71" s="96" t="str">
        <x:v>同类扩展</x:v>
      </x:c>
      <x:c r="N71" s="96" t="str">
        <x:v>已配置</x:v>
      </x:c>
      <x:c r="O71" s="111"/>
      <x:c r="P71" s="97" t="str"/>
    </x:row>
    <x:row r="72">
      <x:c r="A72" s="96" t="str">
        <x:v>spdbwm</x:v>
      </x:c>
      <x:c r="B72" s="96" t="str">
        <x:v>浦银理财</x:v>
      </x:c>
      <x:c r="C72" s="96" t="str">
        <x:v>SPDB Wealth Management</x:v>
      </x:c>
      <x:c r="D72" s="96" t="str">
        <x:v>金融基础设施/上海国企</x:v>
      </x:c>
      <x:c r="E72" s="96" t="str">
        <x:v>银行理财子公司</x:v>
      </x:c>
      <x:c r="F72" s="96" t="str">
        <x:v>上海</x:v>
      </x:c>
      <x:c r="G72" s="96" t="str">
        <x:v>国有金融子公司</x:v>
      </x:c>
      <x:c r="H72" s="96" t="str">
        <x:v>P1</x:v>
      </x:c>
      <x:c r="I72" s="96" t="str">
        <x:v>金融基础设施/风险管理/数据分析/产品/战略</x:v>
      </x:c>
      <x:c r="J72" s="96" t="str">
        <x:v>https://www.gzw.sh.gov.cn/shgzw_xxgk_cqzp/index.html</x:v>
      </x:c>
      <x:c r="K72" s="96" t="str">
        <x:v>官网/上海国资委/国聘/公众号/搜索</x:v>
      </x:c>
      <x:c r="L72" s="96" t="str">
        <x:v>上海国企/基础设施扩展</x:v>
      </x:c>
      <x:c r="M72" s="96" t="str">
        <x:v>原Excel种子</x:v>
      </x:c>
      <x:c r="N72" s="96" t="str">
        <x:v>已配置</x:v>
      </x:c>
      <x:c r="O72" s="111"/>
      <x:c r="P72" s="97" t="str"/>
    </x:row>
    <x:row r="73">
      <x:c r="A73" s="96" t="str">
        <x:v>boccfc</x:v>
      </x:c>
      <x:c r="B73" s="96" t="str">
        <x:v>中银消费金融</x:v>
      </x:c>
      <x:c r="C73" s="96" t="str">
        <x:v>BOC Consumer Finance</x:v>
      </x:c>
      <x:c r="D73" s="96" t="str">
        <x:v>金融基础设施/上海国企</x:v>
      </x:c>
      <x:c r="E73" s="96" t="str">
        <x:v>消费金融/信用风险</x:v>
      </x:c>
      <x:c r="F73" s="96" t="str">
        <x:v>上海</x:v>
      </x:c>
      <x:c r="G73" s="96" t="str">
        <x:v>国有金融子公司</x:v>
      </x:c>
      <x:c r="H73" s="96" t="str">
        <x:v>P1</x:v>
      </x:c>
      <x:c r="I73" s="96" t="str">
        <x:v>金融基础设施/风险管理/数据分析/产品/战略</x:v>
      </x:c>
      <x:c r="J73" s="96" t="str">
        <x:v>https://www.gzw.sh.gov.cn/shgzw_xxgk_cqzp/index.html</x:v>
      </x:c>
      <x:c r="K73" s="96" t="str">
        <x:v>官网/上海国资委/国聘/公众号/搜索</x:v>
      </x:c>
      <x:c r="L73" s="96" t="str">
        <x:v>上海国企/基础设施扩展</x:v>
      </x:c>
      <x:c r="M73" s="96" t="str">
        <x:v>原Excel种子</x:v>
      </x:c>
      <x:c r="N73" s="96" t="str">
        <x:v>已配置</x:v>
      </x:c>
      <x:c r="O73" s="111"/>
      <x:c r="P73" s="97" t="str"/>
    </x:row>
    <x:row r="74">
      <x:c r="A74" s="96" t="str">
        <x:v>cibcfc</x:v>
      </x:c>
      <x:c r="B74" s="96" t="str">
        <x:v>兴业消费金融</x:v>
      </x:c>
      <x:c r="C74" s="96" t="str">
        <x:v>Industrial Consumer Finance</x:v>
      </x:c>
      <x:c r="D74" s="96" t="str">
        <x:v>金融基础设施/上海国企</x:v>
      </x:c>
      <x:c r="E74" s="96" t="str">
        <x:v>消费金融/信用风险</x:v>
      </x:c>
      <x:c r="F74" s="96" t="str">
        <x:v>上海</x:v>
      </x:c>
      <x:c r="G74" s="96" t="str">
        <x:v>银行子公司</x:v>
      </x:c>
      <x:c r="H74" s="96" t="str">
        <x:v>P1</x:v>
      </x:c>
      <x:c r="I74" s="96" t="str">
        <x:v>金融基础设施/风险管理/数据分析/产品/战略</x:v>
      </x:c>
      <x:c r="J74" s="96" t="str">
        <x:v>https://www.gzw.sh.gov.cn/shgzw_xxgk_cqzp/index.html</x:v>
      </x:c>
      <x:c r="K74" s="96" t="str">
        <x:v>官网/上海国资委/国聘/公众号/搜索</x:v>
      </x:c>
      <x:c r="L74" s="96" t="str">
        <x:v>上海国企/基础设施扩展</x:v>
      </x:c>
      <x:c r="M74" s="96" t="str">
        <x:v>原Excel种子</x:v>
      </x:c>
      <x:c r="N74" s="96" t="str">
        <x:v>已配置</x:v>
      </x:c>
      <x:c r="O74" s="111"/>
      <x:c r="P74" s="97" t="str"/>
    </x:row>
    <x:row r="75">
      <x:c r="A75" s="96" t="str">
        <x:v>sjec</x:v>
      </x:c>
      <x:c r="B75" s="96" t="str">
        <x:v>上海建科咨询集团</x:v>
      </x:c>
      <x:c r="C75" s="96" t="str">
        <x:v>Shanghai Jianke</x:v>
      </x:c>
      <x:c r="D75" s="96" t="str">
        <x:v>金融基础设施/上海国企</x:v>
      </x:c>
      <x:c r="E75" s="96" t="str">
        <x:v>咨询/城市建设/数字化</x:v>
      </x:c>
      <x:c r="F75" s="96" t="str">
        <x:v>上海</x:v>
      </x:c>
      <x:c r="G75" s="96" t="str">
        <x:v>上海市属国企</x:v>
      </x:c>
      <x:c r="H75" s="96" t="str">
        <x:v>P1</x:v>
      </x:c>
      <x:c r="I75" s="96" t="str">
        <x:v>金融基础设施/风险管理/数据分析/产品/战略</x:v>
      </x:c>
      <x:c r="J75" s="96" t="str">
        <x:v>https://www.gzw.sh.gov.cn/shgzw_xxgk_cqzp/index.html</x:v>
      </x:c>
      <x:c r="K75" s="96" t="str">
        <x:v>官网/上海国资委/国聘/公众号/搜索</x:v>
      </x:c>
      <x:c r="L75" s="96" t="str">
        <x:v>上海国企/基础设施扩展</x:v>
      </x:c>
      <x:c r="M75" s="96" t="str">
        <x:v>同类扩展</x:v>
      </x:c>
      <x:c r="N75" s="96" t="str">
        <x:v>已配置</x:v>
      </x:c>
      <x:c r="O75" s="111" t="n">
        <x:v>46234</x:v>
      </x:c>
      <x:c r="P75" s="97" t="str">
        <x:v>当前有岗位/批次线索</x:v>
      </x:c>
    </x:row>
    <x:row r="76">
      <x:c r="A76" s="96" t="str">
        <x:v>shmetro</x:v>
      </x:c>
      <x:c r="B76" s="96" t="str">
        <x:v>申通地铁集团</x:v>
      </x:c>
      <x:c r="C76" s="96" t="str">
        <x:v>Shanghai Shentong Metro</x:v>
      </x:c>
      <x:c r="D76" s="96" t="str">
        <x:v>金融基础设施/上海国企</x:v>
      </x:c>
      <x:c r="E76" s="96" t="str">
        <x:v>城市基础设施/数字化</x:v>
      </x:c>
      <x:c r="F76" s="96" t="str">
        <x:v>上海</x:v>
      </x:c>
      <x:c r="G76" s="96" t="str">
        <x:v>上海市属国企</x:v>
      </x:c>
      <x:c r="H76" s="96" t="str">
        <x:v>P1</x:v>
      </x:c>
      <x:c r="I76" s="96" t="str">
        <x:v>金融基础设施/风险管理/数据分析/产品/战略</x:v>
      </x:c>
      <x:c r="J76" s="96" t="str">
        <x:v>https://www.gzw.sh.gov.cn/shgzw_xxgk_cqzp/index.html</x:v>
      </x:c>
      <x:c r="K76" s="96" t="str">
        <x:v>官网/上海国资委/国聘/公众号/搜索</x:v>
      </x:c>
      <x:c r="L76" s="96" t="str">
        <x:v>上海国企/基础设施扩展</x:v>
      </x:c>
      <x:c r="M76" s="96" t="str">
        <x:v>同类扩展</x:v>
      </x:c>
      <x:c r="N76" s="96" t="str">
        <x:v>已配置</x:v>
      </x:c>
      <x:c r="O76" s="111"/>
      <x:c r="P76" s="97" t="str"/>
    </x:row>
    <x:row r="77">
      <x:c r="A77" s="96" t="str">
        <x:v>shchengtou</x:v>
      </x:c>
      <x:c r="B77" s="96" t="str">
        <x:v>上海城投</x:v>
      </x:c>
      <x:c r="C77" s="96" t="str">
        <x:v>Shanghai Chengtou</x:v>
      </x:c>
      <x:c r="D77" s="96" t="str">
        <x:v>金融基础设施/上海国企</x:v>
      </x:c>
      <x:c r="E77" s="96" t="str">
        <x:v>城市基础设施/金融与数据</x:v>
      </x:c>
      <x:c r="F77" s="96" t="str">
        <x:v>上海</x:v>
      </x:c>
      <x:c r="G77" s="96" t="str">
        <x:v>上海市属国企</x:v>
      </x:c>
      <x:c r="H77" s="96" t="str">
        <x:v>P1</x:v>
      </x:c>
      <x:c r="I77" s="96" t="str">
        <x:v>金融基础设施/风险管理/数据分析/产品/战略</x:v>
      </x:c>
      <x:c r="J77" s="96" t="str">
        <x:v>https://www.gzw.sh.gov.cn/shgzw_xxgk_cqzp/index.html</x:v>
      </x:c>
      <x:c r="K77" s="96" t="str">
        <x:v>官网/上海国资委/国聘/公众号/搜索</x:v>
      </x:c>
      <x:c r="L77" s="96" t="str">
        <x:v>上海国企/基础设施扩展</x:v>
      </x:c>
      <x:c r="M77" s="96" t="str">
        <x:v>同类扩展</x:v>
      </x:c>
      <x:c r="N77" s="96" t="str">
        <x:v>已配置</x:v>
      </x:c>
      <x:c r="O77" s="111"/>
      <x:c r="P77" s="97" t="str"/>
    </x:row>
    <x:row r="78">
      <x:c r="A78" s="96" t="str">
        <x:v>bitget</x:v>
      </x:c>
      <x:c r="B78" s="96" t="str">
        <x:v>Bitget</x:v>
      </x:c>
      <x:c r="C78" s="96" t="str">
        <x:v>Bitget</x:v>
      </x:c>
      <x:c r="D78" s="96" t="str">
        <x:v>数字资产/支付</x:v>
      </x:c>
      <x:c r="E78" s="96" t="str">
        <x:v>交易与支付基础设施</x:v>
      </x:c>
      <x:c r="F78" s="96" t="str">
        <x:v>香港</x:v>
      </x:c>
      <x:c r="G78" s="96" t="str">
        <x:v>全球数字资产平台</x:v>
      </x:c>
      <x:c r="H78" s="96" t="str">
        <x:v>P2</x:v>
      </x:c>
      <x:c r="I78" s="96" t="str">
        <x:v>合规/风控策略/产品/数据分析</x:v>
      </x:c>
      <x:c r="J78" s="96" t="str">
        <x:v>https://www.bitget.com/about/careers</x:v>
      </x:c>
      <x:c r="K78" s="96" t="str">
        <x:v>官网/LinkedIn/搜索</x:v>
      </x:c>
      <x:c r="L78" s="96" t="str">
        <x:v>原Excel：可投</x:v>
      </x:c>
      <x:c r="M78" s="96" t="str">
        <x:v>原Excel种子</x:v>
      </x:c>
      <x:c r="N78" s="96" t="str">
        <x:v>已配置</x:v>
      </x:c>
      <x:c r="O78" s="111"/>
      <x:c r="P78" s="97" t="str"/>
    </x:row>
    <x:row r="79">
      <x:c r="A79" s="96" t="str">
        <x:v>kngroup</x:v>
      </x:c>
      <x:c r="B79" s="96" t="str">
        <x:v>KN Group</x:v>
      </x:c>
      <x:c r="C79" s="96" t="str">
        <x:v>KN Group</x:v>
      </x:c>
      <x:c r="D79" s="96" t="str">
        <x:v>消费金融/FinTech</x:v>
      </x:c>
      <x:c r="E79" s="96" t="str">
        <x:v>现金贷/风控</x:v>
      </x:c>
      <x:c r="F79" s="96" t="str">
        <x:v>上海</x:v>
      </x:c>
      <x:c r="G79" s="96" t="str">
        <x:v>私企</x:v>
      </x:c>
      <x:c r="H79" s="96" t="str">
        <x:v>P2</x:v>
      </x:c>
      <x:c r="I79" s="96" t="str">
        <x:v>风控策略/数据分析/产品</x:v>
      </x:c>
      <x:c r="J79" s="96" t="str"/>
      <x:c r="K79" s="96" t="str">
        <x:v>招聘平台/搜索</x:v>
      </x:c>
      <x:c r="L79" s="96" t="str">
        <x:v>原Excel公司池</x:v>
      </x:c>
      <x:c r="M79" s="96" t="str">
        <x:v>原Excel种子</x:v>
      </x:c>
      <x:c r="N79" s="96" t="str">
        <x:v>需补官方入口</x:v>
      </x:c>
      <x:c r="O79" s="111"/>
      <x:c r="P79" s="97" t="str"/>
    </x:row>
    <x:row r="80">
      <x:c r="A80" s="96" t="str">
        <x:v>sfc</x:v>
      </x:c>
      <x:c r="B80" s="96" t="str">
        <x:v>香港证监会</x:v>
      </x:c>
      <x:c r="C80" s="96" t="str">
        <x:v>Securities and Futures Commission</x:v>
      </x:c>
      <x:c r="D80" s="96" t="str">
        <x:v>监管机构</x:v>
      </x:c>
      <x:c r="E80" s="96" t="str">
        <x:v>金融监管</x:v>
      </x:c>
      <x:c r="F80" s="96" t="str">
        <x:v>香港</x:v>
      </x:c>
      <x:c r="G80" s="96" t="str">
        <x:v>香港法定监管机构</x:v>
      </x:c>
      <x:c r="H80" s="96" t="str">
        <x:v>P2</x:v>
      </x:c>
      <x:c r="I80" s="96" t="str">
        <x:v>监管科技/风险管理/数据分析</x:v>
      </x:c>
      <x:c r="J80" s="96" t="str">
        <x:v>https://www.sfc.hk/en/Careers</x:v>
      </x:c>
      <x:c r="K80" s="96" t="str">
        <x:v>官网/LinkedIn/搜索</x:v>
      </x:c>
      <x:c r="L80" s="96" t="str">
        <x:v>高竞争，作为彩票项</x:v>
      </x:c>
      <x:c r="M80" s="96" t="str">
        <x:v>原Excel种子</x:v>
      </x:c>
      <x:c r="N80" s="96" t="str">
        <x:v>已配置</x:v>
      </x:c>
      <x:c r="O80" s="111"/>
      <x:c r="P80" s="97" t="str"/>
    </x:row>
    <x:row r="81">
      <x:c r="A81" s="96" t="str">
        <x:v>pdd</x:v>
      </x:c>
      <x:c r="B81" s="96" t="str">
        <x:v>拼多多集团</x:v>
      </x:c>
      <x:c r="C81" s="96" t="str">
        <x:v>PDD</x:v>
      </x:c>
      <x:c r="D81" s="96" t="str">
        <x:v>互联网/平台</x:v>
      </x:c>
      <x:c r="E81" s="96" t="str">
        <x:v>跨境电商/支付相邻</x:v>
      </x:c>
      <x:c r="F81" s="96" t="str">
        <x:v>上海</x:v>
      </x:c>
      <x:c r="G81" s="96" t="str">
        <x:v>上市互联网公司</x:v>
      </x:c>
      <x:c r="H81" s="96" t="str">
        <x:v>P2</x:v>
      </x:c>
      <x:c r="I81" s="96" t="str">
        <x:v>合规运营/数据分析/产品/风控策略/AI/Agent</x:v>
      </x:c>
      <x:c r="J81" s="96" t="str">
        <x:v>https://careers.pddglobalhr.com/campus</x:v>
      </x:c>
      <x:c r="K81" s="96" t="str">
        <x:v>官网/公众号/搜索</x:v>
      </x:c>
      <x:c r="L81" s="96" t="str">
        <x:v>外围扩展；2027提前批已有相关岗</x:v>
      </x:c>
      <x:c r="M81" s="96" t="str">
        <x:v>同类扩展</x:v>
      </x:c>
      <x:c r="N81" s="96" t="str">
        <x:v>已配置</x:v>
      </x:c>
      <x:c r="O81" s="111" t="n">
        <x:v>46234</x:v>
      </x:c>
      <x:c r="P81" s="97" t="str">
        <x:v>当前有岗位/批次线索</x:v>
      </x:c>
    </x:row>
    <x:row r="82">
      <x:c r="A82" s="98" t="str">
        <x:v>bytedance</x:v>
      </x:c>
      <x:c r="B82" s="98" t="str">
        <x:v>字节跳动</x:v>
      </x:c>
      <x:c r="C82" s="98" t="str">
        <x:v>ByteDance</x:v>
      </x:c>
      <x:c r="D82" s="98" t="str">
        <x:v>互联网/平台</x:v>
      </x:c>
      <x:c r="E82" s="98" t="str">
        <x:v>全球化电商与支付相邻</x:v>
      </x:c>
      <x:c r="F82" s="98" t="str">
        <x:v>上海/香港</x:v>
      </x:c>
      <x:c r="G82" s="98" t="str">
        <x:v>互联网公司</x:v>
      </x:c>
      <x:c r="H82" s="98" t="str">
        <x:v>P2</x:v>
      </x:c>
      <x:c r="I82" s="98" t="str">
        <x:v>风控策略/合规/产品/数据分析/AI/Agent</x:v>
      </x:c>
      <x:c r="J82" s="98" t="str">
        <x:v>https://jobs.bytedance.com/campus</x:v>
      </x:c>
      <x:c r="K82" s="98" t="str">
        <x:v>官网/公众号/搜索</x:v>
      </x:c>
      <x:c r="L82" s="98" t="str">
        <x:v>外围扩展，重点看支付/电商风控</x:v>
      </x:c>
      <x:c r="M82" s="98" t="str">
        <x:v>同类扩展</x:v>
      </x:c>
      <x:c r="N82" s="98" t="str">
        <x:v>已配置</x:v>
      </x:c>
      <x:c r="O82" s="112" t="n">
        <x:v>46234</x:v>
      </x:c>
      <x:c r="P82" s="99" t="str">
        <x:v>当前有岗位/批次线索</x:v>
      </x:c>
    </x:row>
  </x:sheetData>
  <x:mergeCells>
    <x:mergeCell ref="A1:P1"/>
    <x:mergeCell ref="A2:P2"/>
  </x:mergeCells>
  <x:conditionalFormatting sqref="H4:H82">
    <x:cfRule type="expression" dxfId="1" priority="1">
      <x:formula>H4="P0"</x:formula>
    </x:cfRule>
    <x:cfRule type="expression" dxfId="2" priority="2">
      <x:formula>H4="P1"</x:formula>
    </x:cfRule>
  </x:conditionalFormatting>
  <x:conditionalFormatting sqref="N4:N82">
    <x:cfRule type="expression" dxfId="3" priority="3">
      <x:formula>N4="需补官方入口"</x:formula>
    </x:cfRule>
  </x:conditionalFormatting>
  <x:dataValidations count="2">
    <x:dataValidation type="list" sqref="H4:H200">
      <x:formula1>"P0,P1,P2,P3"</x:formula1>
    </x:dataValidation>
    <x:dataValidation type="list" sqref="N4:N200">
      <x:formula1>"已配置,待扫描,正常,部分失败,阻断,需补官方入口"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daf04f2d894f6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5" hidden="0" customWidth="1"/>
    <x:col min="4" max="4" width="12" hidden="0" customWidth="1"/>
    <x:col min="5" max="5" width="16" hidden="0" customWidth="1"/>
    <x:col min="6" max="6" width="12" hidden="0" customWidth="1"/>
    <x:col min="7" max="7" width="12" hidden="0" customWidth="1"/>
    <x:col min="8" max="8" width="30" hidden="0" customWidth="1"/>
    <x:col min="9" max="9" width="16" hidden="0" customWidth="1"/>
    <x:col min="10" max="10" width="42" hidden="0" customWidth="1"/>
    <x:col min="11" max="11" width="34" hidden="0" customWidth="1"/>
  </x:cols>
  <x:sheetData>
    <x:row r="1" ht="32" customHeight="1">
      <x:c r="A1" s="5" t="str">
        <x:v>重点批次与监控窗口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2" t="str">
        <x:v>“历史基线”只用于推断监控窗口，不等于今年已启动；“当前线索”必须继续回官网核验。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82" t="str">
        <x:v>公司/计划</x:v>
      </x:c>
      <x:c r="B3" s="82" t="str">
        <x:v>招聘事件</x:v>
      </x:c>
      <x:c r="C3" s="82" t="str">
        <x:v>地点</x:v>
      </x:c>
      <x:c r="D3" s="82" t="str">
        <x:v>届别</x:v>
      </x:c>
      <x:c r="E3" s="82" t="str">
        <x:v>批次</x:v>
      </x:c>
      <x:c r="F3" s="82" t="str">
        <x:v>发布日期</x:v>
      </x:c>
      <x:c r="G3" s="82" t="str">
        <x:v>截止日期</x:v>
      </x:c>
      <x:c r="H3" s="82" t="str">
        <x:v>当前状态</x:v>
      </x:c>
      <x:c r="I3" s="82" t="str">
        <x:v>信息性质</x:v>
      </x:c>
      <x:c r="J3" s="82" t="str">
        <x:v>来源URL</x:v>
      </x:c>
      <x:c r="K3" s="82" t="str">
        <x:v>监控动作</x:v>
      </x:c>
    </x:row>
    <x:row r="4">
      <x:c r="A4" s="96" t="str">
        <x:v>拼多多集团</x:v>
      </x:c>
      <x:c r="B4" s="96" t="str">
        <x:v>2027届提前批</x:v>
      </x:c>
      <x:c r="C4" s="96" t="str">
        <x:v>上海</x:v>
      </x:c>
      <x:c r="D4" s="96" t="str">
        <x:v>2027届</x:v>
      </x:c>
      <x:c r="E4" s="96" t="str">
        <x:v>提前批</x:v>
      </x:c>
      <x:c r="F4" s="111" t="n">
        <x:v>46209</x:v>
      </x:c>
      <x:c r="G4" s="111" t="n">
        <x:v>46257</x:v>
      </x:c>
      <x:c r="H4" s="96" t="str">
        <x:v>开放窗口内</x:v>
      </x:c>
      <x:c r="I4" s="96" t="str">
        <x:v>当前线索</x:v>
      </x:c>
      <x:c r="J4" s="96" t="str">
        <x:v>https://careers.pddglobalhr.com/campus</x:v>
      </x:c>
      <x:c r="K4" s="97" t="str">
        <x:v>立即核验合规/数据岗位并投递</x:v>
      </x:c>
    </x:row>
    <x:row r="5">
      <x:c r="A5" s="96" t="str">
        <x:v>字节跳动</x:v>
      </x:c>
      <x:c r="B5" s="96" t="str">
        <x:v>AI产品经理早鸟通道</x:v>
      </x:c>
      <x:c r="C5" s="96" t="str">
        <x:v>上海</x:v>
      </x:c>
      <x:c r="D5" s="96" t="str">
        <x:v>2027届</x:v>
      </x:c>
      <x:c r="E5" s="96" t="str">
        <x:v>提前批</x:v>
      </x:c>
      <x:c r="F5" s="111" t="n">
        <x:v>46217</x:v>
      </x:c>
      <x:c r="G5" s="111" t="n">
        <x:v>46236</x:v>
      </x:c>
      <x:c r="H5" s="96" t="str">
        <x:v>临近截止；官网待核验</x:v>
      </x:c>
      <x:c r="I5" s="96" t="str">
        <x:v>当前聚合线索</x:v>
      </x:c>
      <x:c r="J5" s="96" t="str">
        <x:v>https://www.chaojijianli.com/xiaozhao/autumn-recruit-ai-early-batch-11585-6f03a5/</x:v>
      </x:c>
      <x:c r="K5" s="97" t="str">
        <x:v>当天核验，不等待日报下一轮</x:v>
      </x:c>
    </x:row>
    <x:row r="6">
      <x:c r="A6" s="96" t="str">
        <x:v>上海建科咨询集团</x:v>
      </x:c>
      <x:c r="B6" s="96" t="str">
        <x:v>暑期实习暨2027届秋招提前批</x:v>
      </x:c>
      <x:c r="C6" s="96" t="str">
        <x:v>上海</x:v>
      </x:c>
      <x:c r="D6" s="96" t="str">
        <x:v>2027届</x:v>
      </x:c>
      <x:c r="E6" s="96" t="str">
        <x:v>提前批</x:v>
      </x:c>
      <x:c r="F6" s="111" t="n">
        <x:v>46167</x:v>
      </x:c>
      <x:c r="G6" s="111"/>
      <x:c r="H6" s="96" t="str">
        <x:v>官方启动；截止待核验</x:v>
      </x:c>
      <x:c r="I6" s="96" t="str">
        <x:v>当前官方公告</x:v>
      </x:c>
      <x:c r="J6" s="96" t="str">
        <x:v>https://www.gzw.sh.gov.cn/shgzw_xxgk_cqzp/20260525/aaaf1e33b4c042e087b15f638400ccd8.html</x:v>
      </x:c>
      <x:c r="K6" s="97" t="str">
        <x:v>核验具体岗位与报名入口</x:v>
      </x:c>
    </x:row>
    <x:row r="7">
      <x:c r="A7" s="96" t="str">
        <x:v>上海农商银行</x:v>
      </x:c>
      <x:c r="B7" s="96" t="str">
        <x:v>2027届暑期实习生招聘</x:v>
      </x:c>
      <x:c r="C7" s="96" t="str">
        <x:v>上海</x:v>
      </x:c>
      <x:c r="D7" s="96" t="str">
        <x:v>2027届</x:v>
      </x:c>
      <x:c r="E7" s="96" t="str">
        <x:v>暑期实习/留用</x:v>
      </x:c>
      <x:c r="F7" s="111" t="n">
        <x:v>46161</x:v>
      </x:c>
      <x:c r="G7" s="111"/>
      <x:c r="H7" s="96" t="str">
        <x:v>报名状态待核验</x:v>
      </x:c>
      <x:c r="I7" s="96" t="str">
        <x:v>当前官方公告</x:v>
      </x:c>
      <x:c r="J7" s="96" t="str">
        <x:v>https://www.gzw.sh.gov.cn/shgzw_xxgk_cqzp/20260519/b53bdd320a214cbe9dded8d485b0702a.html</x:v>
      </x:c>
      <x:c r="K7" s="97" t="str">
        <x:v>检查是否仍可投及留用路径</x:v>
      </x:c>
    </x:row>
    <x:row r="8">
      <x:c r="A8" s="96" t="str">
        <x:v>上海国资国企</x:v>
      </x:c>
      <x:c r="B8" s="96" t="str">
        <x:v>2027届集中校园招聘</x:v>
      </x:c>
      <x:c r="C8" s="96" t="str">
        <x:v>上海</x:v>
      </x:c>
      <x:c r="D8" s="96" t="str">
        <x:v>2027届</x:v>
      </x:c>
      <x:c r="E8" s="96" t="str">
        <x:v>秋招</x:v>
      </x:c>
      <x:c r="F8" s="111"/>
      <x:c r="G8" s="111"/>
      <x:c r="H8" s="96" t="str">
        <x:v>截至2026-07-31未发现集中启动</x:v>
      </x:c>
      <x:c r="I8" s="96" t="str">
        <x:v>待启动监控</x:v>
      </x:c>
      <x:c r="J8" s="96" t="str">
        <x:v>https://www.gzw.sh.gov.cn/shgzw_xxgk_cqzp/</x:v>
      </x:c>
      <x:c r="K8" s="97" t="str">
        <x:v>8月低频、9月起每日高频扫描</x:v>
      </x:c>
    </x:row>
    <x:row r="9">
      <x:c r="A9" s="96" t="str">
        <x:v>上海国资国企</x:v>
      </x:c>
      <x:c r="B9" s="96" t="str">
        <x:v>2026届“骐骥秋实”集中校招</x:v>
      </x:c>
      <x:c r="C9" s="96" t="str">
        <x:v>上海</x:v>
      </x:c>
      <x:c r="D9" s="96" t="str">
        <x:v>2026届</x:v>
      </x:c>
      <x:c r="E9" s="96" t="str">
        <x:v>秋招</x:v>
      </x:c>
      <x:c r="F9" s="111" t="n">
        <x:v>45919</x:v>
      </x:c>
      <x:c r="G9" s="111"/>
      <x:c r="H9" s="96" t="str">
        <x:v>已结束；1437岗位/10277需求</x:v>
      </x:c>
      <x:c r="I9" s="96" t="str">
        <x:v>历史基线</x:v>
      </x:c>
      <x:c r="J9" s="96" t="str">
        <x:v>https://www.gzw.sh.gov.cn/shgzw_xxgk_cqzp/20250919/c804fa112cd94235bdf738e927b42a04.html</x:v>
      </x:c>
      <x:c r="K9" s="97" t="str">
        <x:v>仅用于估计2027届监控窗口</x:v>
      </x:c>
    </x:row>
    <x:row r="10">
      <x:c r="A10" s="96" t="str">
        <x:v>国聘/24365</x:v>
      </x:c>
      <x:c r="B10" s="96" t="str">
        <x:v>2026“国聘行动”</x:v>
      </x:c>
      <x:c r="C10" s="96" t="str">
        <x:v>全国/上海</x:v>
      </x:c>
      <x:c r="D10" s="96" t="str">
        <x:v>2026届</x:v>
      </x:c>
      <x:c r="E10" s="96" t="str">
        <x:v>综合</x:v>
      </x:c>
      <x:c r="F10" s="111" t="n">
        <x:v>46143</x:v>
      </x:c>
      <x:c r="G10" s="111" t="n">
        <x:v>46387</x:v>
      </x:c>
      <x:c r="H10" s="96" t="str">
        <x:v>行动期内</x:v>
      </x:c>
      <x:c r="I10" s="96" t="str">
        <x:v>官方总入口</x:v>
      </x:c>
      <x:c r="J10" s="96" t="str">
        <x:v>https://www.ncss.cn/</x:v>
      </x:c>
      <x:c r="K10" s="97" t="str">
        <x:v>每日筛选上海国央企、支付与风控相关岗位</x:v>
      </x:c>
    </x:row>
    <x:row r="11">
      <x:c r="A11" s="98" t="str">
        <x:v>Airwallex</x:v>
      </x:c>
      <x:c r="B11" s="98" t="str">
        <x:v>上海/香港岗位持续更新</x:v>
      </x:c>
      <x:c r="C11" s="98" t="str">
        <x:v>上海/香港</x:v>
      </x:c>
      <x:c r="D11" s="98" t="str"/>
      <x:c r="E11" s="98" t="str">
        <x:v>日常招聘</x:v>
      </x:c>
      <x:c r="F11" s="112"/>
      <x:c r="G11" s="112"/>
      <x:c r="H11" s="98" t="str">
        <x:v>官网持续更新；非统一校招</x:v>
      </x:c>
      <x:c r="I11" s="98" t="str">
        <x:v>官方职位库</x:v>
      </x:c>
      <x:c r="J11" s="98" t="str">
        <x:v>https://careers.airwallex.com/jobs/</x:v>
      </x:c>
      <x:c r="K11" s="99" t="str">
        <x:v>日更；对高级岗自动降权</x:v>
      </x:c>
    </x:row>
  </x:sheetData>
  <x:mergeCells>
    <x:mergeCell ref="A1:K1"/>
    <x:mergeCell ref="A2:K2"/>
  </x:mergeCells>
  <x:conditionalFormatting sqref="I4:I11">
    <x:cfRule type="expression" dxfId="4" priority="1">
      <x:formula>I4="当前官方公告"</x:formula>
    </x:cfRule>
    <x:cfRule type="expression" dxfId="5" priority="2">
      <x:formula>I4="历史基线"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f239ab7441474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0" hidden="0" customWidth="1"/>
    <x:col min="4" max="4" width="12" hidden="0" customWidth="1"/>
    <x:col min="5" max="5" width="12" hidden="0" customWidth="1"/>
    <x:col min="6" max="6" width="30" hidden="0" customWidth="1"/>
    <x:col min="7" max="7" width="36" hidden="0" customWidth="1"/>
    <x:col min="8" max="8" width="20" hidden="0" customWidth="1"/>
    <x:col min="9" max="9" width="44" hidden="0" customWidth="1"/>
  </x:cols>
  <x:sheetData>
    <x:row r="1" ht="32" customHeight="1">
      <x:c r="A1" s="5" t="str">
        <x:v>数据源与执行状态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2" t="str">
        <x:v>Tier 1 可作为事实来源；Tier 2/3 只用于发现线索。每日任务必须输出来源健康，禁止把“未执行”写成“已搜索”。</x:v>
      </x:c>
      <x:c r="B2" s="12"/>
      <x:c r="C2" s="12"/>
      <x:c r="D2" s="12"/>
      <x:c r="E2" s="12"/>
      <x:c r="F2" s="12"/>
      <x:c r="G2" s="12"/>
      <x:c r="H2" s="12"/>
      <x:c r="I2" s="12"/>
    </x:row>
    <x:row r="3">
      <x:c r="A3" s="82" t="str">
        <x:v>数据源</x:v>
      </x:c>
      <x:c r="B3" s="82" t="str">
        <x:v>类型</x:v>
      </x:c>
      <x:c r="C3" s="82" t="str">
        <x:v>级别</x:v>
      </x:c>
      <x:c r="D3" s="82" t="str">
        <x:v>自动化</x:v>
      </x:c>
      <x:c r="E3" s="82" t="str">
        <x:v>频率</x:v>
      </x:c>
      <x:c r="F3" s="82" t="str">
        <x:v>覆盖范围</x:v>
      </x:c>
      <x:c r="G3" s="82" t="str">
        <x:v>局限</x:v>
      </x:c>
      <x:c r="H3" s="82" t="str">
        <x:v>当前状态</x:v>
      </x:c>
      <x:c r="I3" s="82" t="str">
        <x:v>URL</x:v>
      </x:c>
    </x:row>
    <x:row r="4">
      <x:c r="A4" s="96" t="str">
        <x:v>企业官网/官方ATS</x:v>
      </x:c>
      <x:c r="B4" s="96" t="str">
        <x:v>官方</x:v>
      </x:c>
      <x:c r="C4" s="96" t="str">
        <x:v>Tier 1</x:v>
      </x:c>
      <x:c r="D4" s="96" t="str">
        <x:v>是</x:v>
      </x:c>
      <x:c r="E4" s="96" t="str">
        <x:v>每日</x:v>
      </x:c>
      <x:c r="F4" s="96" t="str">
        <x:v>Greenhouse/Lever/Ashby与官网职位页</x:v>
      </x:c>
      <x:c r="G4" s="96" t="str">
        <x:v>部分站点反爬或JS渲染</x:v>
      </x:c>
      <x:c r="H4" s="96" t="str">
        <x:v>已接入</x:v>
      </x:c>
      <x:c r="I4" s="97" t="str"/>
    </x:row>
    <x:row r="5">
      <x:c r="A5" s="96" t="str">
        <x:v>上海市国资委招聘</x:v>
      </x:c>
      <x:c r="B5" s="96" t="str">
        <x:v>政府官方</x:v>
      </x:c>
      <x:c r="C5" s="96" t="str">
        <x:v>Tier 1</x:v>
      </x:c>
      <x:c r="D5" s="96" t="str">
        <x:v>是</x:v>
      </x:c>
      <x:c r="E5" s="96" t="str">
        <x:v>每日</x:v>
      </x:c>
      <x:c r="F5" s="96" t="str">
        <x:v>市属国企、区属国企、提前批/校招</x:v>
      </x:c>
      <x:c r="G5" s="96" t="str">
        <x:v>附件型JD需二次解析</x:v>
      </x:c>
      <x:c r="H5" s="96" t="str">
        <x:v>已接入</x:v>
      </x:c>
      <x:c r="I5" s="97" t="str">
        <x:v>https://www.gzw.sh.gov.cn/shgzw_xxgk_cqzp/</x:v>
      </x:c>
    </x:row>
    <x:row r="6">
      <x:c r="A6" s="96" t="str">
        <x:v>国聘/24365</x:v>
      </x:c>
      <x:c r="B6" s="96" t="str">
        <x:v>政府/央国企平台</x:v>
      </x:c>
      <x:c r="C6" s="96" t="str">
        <x:v>Tier 1</x:v>
      </x:c>
      <x:c r="D6" s="96" t="str">
        <x:v>计划接入</x:v>
      </x:c>
      <x:c r="E6" s="96" t="str">
        <x:v>每日</x:v>
      </x:c>
      <x:c r="F6" s="96" t="str">
        <x:v>央企、国企、毕业生专项行动</x:v>
      </x:c>
      <x:c r="G6" s="96" t="str">
        <x:v>搜索与详情页结构可能变化</x:v>
      </x:c>
      <x:c r="H6" s="96" t="str">
        <x:v>待强化</x:v>
      </x:c>
      <x:c r="I6" s="97" t="str">
        <x:v>https://www.ncss.cn/</x:v>
      </x:c>
    </x:row>
    <x:row r="7">
      <x:c r="A7" s="96" t="str">
        <x:v>Greenhouse API</x:v>
      </x:c>
      <x:c r="B7" s="96" t="str">
        <x:v>ATS</x:v>
      </x:c>
      <x:c r="C7" s="96" t="str">
        <x:v>Tier 1</x:v>
      </x:c>
      <x:c r="D7" s="96" t="str">
        <x:v>是</x:v>
      </x:c>
      <x:c r="E7" s="96" t="str">
        <x:v>每日</x:v>
      </x:c>
      <x:c r="F7" s="96" t="str">
        <x:v>海外/FinTech公司</x:v>
      </x:c>
      <x:c r="G7" s="96" t="str">
        <x:v>需准确board token</x:v>
      </x:c>
      <x:c r="H7" s="96" t="str">
        <x:v>已接入</x:v>
      </x:c>
      <x:c r="I7" s="97" t="str">
        <x:v>https://developers.greenhouse.io/job-board.html</x:v>
      </x:c>
    </x:row>
    <x:row r="8">
      <x:c r="A8" s="96" t="str">
        <x:v>Lever API</x:v>
      </x:c>
      <x:c r="B8" s="96" t="str">
        <x:v>ATS</x:v>
      </x:c>
      <x:c r="C8" s="96" t="str">
        <x:v>Tier 1</x:v>
      </x:c>
      <x:c r="D8" s="96" t="str">
        <x:v>是</x:v>
      </x:c>
      <x:c r="E8" s="96" t="str">
        <x:v>每日</x:v>
      </x:c>
      <x:c r="F8" s="96" t="str">
        <x:v>海外/FinTech公司</x:v>
      </x:c>
      <x:c r="G8" s="96" t="str">
        <x:v>需准确site token</x:v>
      </x:c>
      <x:c r="H8" s="96" t="str">
        <x:v>已接入</x:v>
      </x:c>
      <x:c r="I8" s="97" t="str">
        <x:v>https://github.com/lever/postings-api</x:v>
      </x:c>
    </x:row>
    <x:row r="9">
      <x:c r="A9" s="96" t="str">
        <x:v>Ashby Job Board API</x:v>
      </x:c>
      <x:c r="B9" s="96" t="str">
        <x:v>ATS</x:v>
      </x:c>
      <x:c r="C9" s="96" t="str">
        <x:v>Tier 1</x:v>
      </x:c>
      <x:c r="D9" s="96" t="str">
        <x:v>是</x:v>
      </x:c>
      <x:c r="E9" s="96" t="str">
        <x:v>每日</x:v>
      </x:c>
      <x:c r="F9" s="96" t="str">
        <x:v>海外科技/FinTech公司</x:v>
      </x:c>
      <x:c r="G9" s="96" t="str">
        <x:v>需准确board名称</x:v>
      </x:c>
      <x:c r="H9" s="96" t="str">
        <x:v>已接入</x:v>
      </x:c>
      <x:c r="I9" s="97" t="str">
        <x:v>https://developers.ashbyhq.com/</x:v>
      </x:c>
    </x:row>
    <x:row r="10">
      <x:c r="A10" s="96" t="str">
        <x:v>LinkedIn Jobs</x:v>
      </x:c>
      <x:c r="B10" s="96" t="str">
        <x:v>职业平台</x:v>
      </x:c>
      <x:c r="C10" s="96" t="str">
        <x:v>Tier 2</x:v>
      </x:c>
      <x:c r="D10" s="96" t="str">
        <x:v>半自动</x:v>
      </x:c>
      <x:c r="E10" s="96" t="str">
        <x:v>每日</x:v>
      </x:c>
      <x:c r="F10" s="96" t="str">
        <x:v>香港与国际公司岗位发现</x:v>
      </x:c>
      <x:c r="G10" s="96" t="str">
        <x:v>需账号/页面限制；必须回官网</x:v>
      </x:c>
      <x:c r="H10" s="96" t="str">
        <x:v>线索源</x:v>
      </x:c>
      <x:c r="I10" s="97" t="str">
        <x:v>https://www.linkedin.com/jobs/</x:v>
      </x:c>
    </x:row>
    <x:row r="11">
      <x:c r="A11" s="96" t="str">
        <x:v>微信公众号</x:v>
      </x:c>
      <x:c r="B11" s="96" t="str">
        <x:v>内容平台</x:v>
      </x:c>
      <x:c r="C11" s="96" t="str">
        <x:v>Tier 2</x:v>
      </x:c>
      <x:c r="D11" s="96" t="str">
        <x:v>半自动</x:v>
      </x:c>
      <x:c r="E11" s="96" t="str">
        <x:v>每日</x:v>
      </x:c>
      <x:c r="F11" s="96" t="str">
        <x:v>校招启动、提前批、宣讲会</x:v>
      </x:c>
      <x:c r="G11" s="96" t="str">
        <x:v>检索与登录限制；不能作为最终事实</x:v>
      </x:c>
      <x:c r="H11" s="96" t="str">
        <x:v>待浏览器适配</x:v>
      </x:c>
      <x:c r="I11" s="97" t="str">
        <x:v>https://weixin.sogou.com/</x:v>
      </x:c>
    </x:row>
    <x:row r="12">
      <x:c r="A12" s="96" t="str">
        <x:v>小红书</x:v>
      </x:c>
      <x:c r="B12" s="96" t="str">
        <x:v>内容平台</x:v>
      </x:c>
      <x:c r="C12" s="96" t="str">
        <x:v>Tier 3</x:v>
      </x:c>
      <x:c r="D12" s="96" t="str">
        <x:v>半自动</x:v>
      </x:c>
      <x:c r="E12" s="96" t="str">
        <x:v>每日</x:v>
      </x:c>
      <x:c r="F12" s="96" t="str">
        <x:v>HR放岗、提前批、小众公司线索</x:v>
      </x:c>
      <x:c r="G12" s="96" t="str">
        <x:v>噪声高、时效与真实性需核验</x:v>
      </x:c>
      <x:c r="H12" s="96" t="str">
        <x:v>待浏览器适配</x:v>
      </x:c>
      <x:c r="I12" s="97" t="str">
        <x:v>https://www.xiaohongshu.com/</x:v>
      </x:c>
    </x:row>
    <x:row r="13">
      <x:c r="A13" s="96" t="str">
        <x:v>实习僧 CSV Skill</x:v>
      </x:c>
      <x:c r="B13" s="96" t="str">
        <x:v>聚合/爬虫</x:v>
      </x:c>
      <x:c r="C13" s="96" t="str">
        <x:v>Tier 3</x:v>
      </x:c>
      <x:c r="D13" s="96" t="str">
        <x:v>是</x:v>
      </x:c>
      <x:c r="E13" s="96" t="str">
        <x:v>每日/限频</x:v>
      </x:c>
      <x:c r="F13" s="96" t="str">
        <x:v>实习与部分校招</x:v>
      </x:c>
      <x:c r="G13" s="96" t="str">
        <x:v>默认3页；低频抓取；必须回官网</x:v>
      </x:c>
      <x:c r="H13" s="96" t="str">
        <x:v>适配器已设计</x:v>
      </x:c>
      <x:c r="I13" s="97" t="str">
        <x:v>https://github.com/s0meb0dy3/shixiseng-job-csv</x:v>
      </x:c>
    </x:row>
    <x:row r="14">
      <x:c r="A14" s="96" t="str">
        <x:v>OpenJobs GitHub</x:v>
      </x:c>
      <x:c r="B14" s="96" t="str">
        <x:v>开源聚合</x:v>
      </x:c>
      <x:c r="C14" s="96" t="str">
        <x:v>Tier 2</x:v>
      </x:c>
      <x:c r="D14" s="96" t="str">
        <x:v>是</x:v>
      </x:c>
      <x:c r="E14" s="96" t="str">
        <x:v>每日</x:v>
      </x:c>
      <x:c r="F14" s="96" t="str">
        <x:v>多公司官网职位索引</x:v>
      </x:c>
      <x:c r="G14" s="96" t="str">
        <x:v>覆盖面广但非用户定向</x:v>
      </x:c>
      <x:c r="H14" s="96" t="str">
        <x:v>补充源</x:v>
      </x:c>
      <x:c r="I14" s="97" t="str">
        <x:v>https://github.com/timqian/openjobs</x:v>
      </x:c>
    </x:row>
    <x:row r="15">
      <x:c r="A15" s="98" t="str">
        <x:v>DDGS 公共搜索</x:v>
      </x:c>
      <x:c r="B15" s="98" t="str">
        <x:v>搜索引擎</x:v>
      </x:c>
      <x:c r="C15" s="98" t="str">
        <x:v>Tier 3</x:v>
      </x:c>
      <x:c r="D15" s="98" t="str">
        <x:v>是</x:v>
      </x:c>
      <x:c r="E15" s="98" t="str">
        <x:v>每日</x:v>
      </x:c>
      <x:c r="F15" s="98" t="str">
        <x:v>跨站发现新公告</x:v>
      </x:c>
      <x:c r="G15" s="98" t="str">
        <x:v>可能限流/结果漂移</x:v>
      </x:c>
      <x:c r="H15" s="98" t="str">
        <x:v>已接入并报告blocked</x:v>
      </x:c>
      <x:c r="I15" s="99" t="str">
        <x:v>https://pypi.org/project/ddgs/</x:v>
      </x:c>
    </x:row>
  </x:sheetData>
  <x:mergeCells>
    <x:mergeCell ref="A1:I1"/>
    <x:mergeCell ref="A2:I2"/>
  </x:mergeCells>
  <x:conditionalFormatting sqref="C4:C15">
    <x:cfRule type="expression" dxfId="6" priority="1">
      <x:formula>C4="Tier 1"</x:formula>
    </x:cfRule>
  </x:conditionalFormatting>
  <x:conditionalFormatting sqref="H4:H15">
    <x:cfRule type="expression" dxfId="7" priority="2">
      <x:formula>OR(H4="待强化",H4="待浏览器适配")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7b8c14898e4c5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2" hidden="0" customWidth="1"/>
    <x:col min="3" max="3" width="36" hidden="0" customWidth="1"/>
  </x:cols>
  <x:sheetData>
    <x:row r="1">
      <x:c r="A1" s="5" t="str">
        <x:v>原始《公司及开放时间.xlsx》保留区</x:v>
      </x:c>
      <x:c r="B1" s="5"/>
      <x:c r="C1" s="5"/>
      <x:c r="D1" s="5"/>
      <x:c r="E1" s="5"/>
      <x:c r="F1" s="5"/>
    </x:row>
    <x:row r="2">
      <x:c r="A2" s="12" t="str">
        <x:v>以下内容按原表原样保留，便于追溯；公司池中的拼写已规范化，例如 karken → Kraken。</x:v>
      </x:c>
      <x:c r="B2" s="12"/>
      <x:c r="C2" s="12"/>
      <x:c r="D2" s="12"/>
      <x:c r="E2" s="12"/>
      <x:c r="F2" s="12"/>
    </x:row>
    <x:row r="4">
      <x:c r="A4" s="53" t="str">
        <x:v>香港</x:v>
      </x:c>
      <x:c r="B4" s="53"/>
      <x:c r="C4" s="53"/>
      <x:c r="D4" s="53"/>
      <x:c r="E4" s="53"/>
      <x:c r="F4" s="53"/>
    </x:row>
    <x:row r="5">
      <x:c r="A5" s="96" t="str">
        <x:v>原则：WLB&gt;薪资</x:v>
      </x:c>
      <x:c r="B5" s="96" t="str">
        <x:v>上海&gt;香港&gt;纽约&gt;除纽约外美国&gt;北京&gt;其他</x:v>
      </x:c>
      <x:c r="C5" s="97" t="str">
        <x:v>不投量化券商公募和银行总行</x:v>
      </x:c>
    </x:row>
    <x:row r="6">
      <x:c r="A6" s="96"/>
      <x:c r="B6" s="96" t="str">
        <x:v>待遇</x:v>
      </x:c>
      <x:c r="C6" s="97"/>
    </x:row>
    <x:row r="7">
      <x:c r="A7" s="96" t="str">
        <x:v>众安银行 ZA bank</x:v>
      </x:c>
      <x:c r="B7" s="96" t="str">
        <x:v>暑期给我拒了</x:v>
      </x:c>
      <x:c r="C7" s="97"/>
    </x:row>
    <x:row r="8">
      <x:c r="A8" s="96" t="str">
        <x:v>Airwallex空中云汇</x:v>
      </x:c>
      <x:c r="B8" s="96" t="str">
        <x:v>跨境支付</x:v>
      </x:c>
      <x:c r="C8" s="97"/>
    </x:row>
    <x:row r="9">
      <x:c r="A9" s="96" t="str">
        <x:v>Welab Bank</x:v>
      </x:c>
      <x:c r="B9" s="96" t="str">
        <x:v>数字银行</x:v>
      </x:c>
      <x:c r="C9" s="97"/>
    </x:row>
    <x:row r="10">
      <x:c r="A10" s="96" t="str">
        <x:v>OSL</x:v>
      </x:c>
      <x:c r="B10" s="96" t="str">
        <x:v>暑期只看到领英有招，没回音</x:v>
      </x:c>
      <x:c r="C10" s="97"/>
    </x:row>
    <x:row r="11">
      <x:c r="A11" s="96" t="str">
        <x:v>hashkey</x:v>
      </x:c>
      <x:c r="B11" s="96" t="str">
        <x:v>听说一般</x:v>
      </x:c>
      <x:c r="C11" s="97"/>
    </x:row>
    <x:row r="12">
      <x:c r="A12" s="96" t="str">
        <x:v>Mox bank</x:v>
      </x:c>
      <x:c r="B12" s="96" t="str">
        <x:v>虚拟银行，渣打旗下，可能要香港本地学生</x:v>
      </x:c>
      <x:c r="C12" s="97"/>
    </x:row>
    <x:row r="13">
      <x:c r="A13" s="96" t="str">
        <x:v>SFC</x:v>
      </x:c>
      <x:c r="B13" s="96" t="str">
        <x:v>证监会，彩票</x:v>
      </x:c>
      <x:c r="C13" s="97"/>
    </x:row>
    <x:row r="14">
      <x:c r="A14" s="96" t="str">
        <x:v>RD tech</x:v>
      </x:c>
      <x:c r="B14" s="96" t="str">
        <x:v>京东稳定币，可以尝试一下</x:v>
      </x:c>
      <x:c r="C14" s="97"/>
    </x:row>
    <x:row r="15">
      <x:c r="A15" s="96" t="str">
        <x:v>redot pay</x:v>
      </x:c>
      <x:c r="B15" s="96" t="str">
        <x:v>暑期默剧</x:v>
      </x:c>
      <x:c r="C15" s="97"/>
    </x:row>
    <x:row r="16">
      <x:c r="A16" s="96" t="str">
        <x:v>bitget</x:v>
      </x:c>
      <x:c r="B16" s="96" t="str">
        <x:v>要我我也去</x:v>
      </x:c>
      <x:c r="C16" s="97"/>
    </x:row>
    <x:row r="17">
      <x:c r="A17" s="96" t="str">
        <x:v>kn group</x:v>
      </x:c>
      <x:c r="B17" s="96"/>
      <x:c r="C17" s="97"/>
    </x:row>
    <x:row r="18">
      <x:c r="A18" s="98" t="str">
        <x:v>photonpay</x:v>
      </x:c>
      <x:c r="B18" s="98" t="str">
        <x:v>不知道秋招怎么样，可能没有校招</x:v>
      </x:c>
      <x:c r="C18" s="99"/>
    </x:row>
    <x:row r="21">
      <x:c r="A21" s="53" t="str">
        <x:v>美国or中国分部</x:v>
      </x:c>
      <x:c r="B21" s="53"/>
      <x:c r="C21" s="53"/>
      <x:c r="D21" s="53"/>
      <x:c r="E21" s="53"/>
      <x:c r="F21" s="53"/>
    </x:row>
    <x:row r="22">
      <x:c r="A22" s="96" t="str">
        <x:v>原则：WLB&gt;薪资</x:v>
      </x:c>
      <x:c r="B22" s="96" t="str">
        <x:v>上海&gt;香港&gt;纽约&gt;除纽约外美国&gt;北京&gt;其他</x:v>
      </x:c>
      <x:c r="C22" s="97" t="str">
        <x:v>不投量化券商公募和银行总行</x:v>
      </x:c>
    </x:row>
    <x:row r="23">
      <x:c r="A23" s="96"/>
      <x:c r="B23" s="96" t="str">
        <x:v>待遇</x:v>
      </x:c>
      <x:c r="C23" s="97"/>
    </x:row>
    <x:row r="24">
      <x:c r="A24" s="96" t="str">
        <x:v>stripe</x:v>
      </x:c>
      <x:c r="B24" s="96"/>
      <x:c r="C24" s="97"/>
    </x:row>
    <x:row r="25">
      <x:c r="A25" s="96" t="str">
        <x:v>paypal</x:v>
      </x:c>
      <x:c r="B25" s="96"/>
      <x:c r="C25" s="97"/>
    </x:row>
    <x:row r="26">
      <x:c r="A26" s="96" t="str">
        <x:v>adyen</x:v>
      </x:c>
      <x:c r="B26" s="96"/>
      <x:c r="C26" s="97"/>
    </x:row>
    <x:row r="27">
      <x:c r="A27" s="96" t="str">
        <x:v>coinbase</x:v>
      </x:c>
      <x:c r="B27" s="96"/>
      <x:c r="C27" s="97"/>
    </x:row>
    <x:row r="28">
      <x:c r="A28" s="96" t="str">
        <x:v>circle</x:v>
      </x:c>
      <x:c r="B28" s="96"/>
      <x:c r="C28" s="97"/>
    </x:row>
    <x:row r="29">
      <x:c r="A29" s="96" t="str">
        <x:v>karken</x:v>
      </x:c>
      <x:c r="B29" s="96"/>
      <x:c r="C29" s="97"/>
    </x:row>
    <x:row r="30">
      <x:c r="A30" s="96" t="str">
        <x:v>派安盈</x:v>
      </x:c>
      <x:c r="B30" s="96"/>
      <x:c r="C30" s="97"/>
    </x:row>
    <x:row r="31">
      <x:c r="A31" s="96" t="str">
        <x:v>American express</x:v>
      </x:c>
      <x:c r="B31" s="96"/>
      <x:c r="C31" s="97"/>
    </x:row>
    <x:row r="32">
      <x:c r="A32" s="96" t="str">
        <x:v>antom</x:v>
      </x:c>
      <x:c r="B32" s="96" t="str">
        <x:v>不确定是否校招</x:v>
      </x:c>
      <x:c r="C32" s="97"/>
    </x:row>
    <x:row r="33">
      <x:c r="A33" s="98" t="str">
        <x:v>Useepay</x:v>
      </x:c>
      <x:c r="B33" s="98"/>
      <x:c r="C33" s="99"/>
    </x:row>
    <x:row r="36">
      <x:c r="A36" s="53" t="str">
        <x:v>中国</x:v>
      </x:c>
      <x:c r="B36" s="53"/>
      <x:c r="C36" s="53"/>
      <x:c r="D36" s="53"/>
      <x:c r="E36" s="53"/>
      <x:c r="F36" s="53"/>
    </x:row>
    <x:row r="37">
      <x:c r="A37" s="96" t="str">
        <x:v>原则：WLB&gt;薪资</x:v>
      </x:c>
      <x:c r="B37" s="96" t="str">
        <x:v>上海&gt;香港&gt;纽约&gt;除纽约外美国&gt;北京&gt;其他</x:v>
      </x:c>
      <x:c r="C37" s="97" t="str">
        <x:v>不投量化券商公募和银行总行</x:v>
      </x:c>
    </x:row>
    <x:row r="38">
      <x:c r="A38" s="96" t="str">
        <x:v>国央企 都是彩票</x:v>
      </x:c>
      <x:c r="B38" s="96" t="str">
        <x:v>策略：跨境支付，数字人民币，金融基础设施建设</x:v>
      </x:c>
      <x:c r="C38" s="97"/>
    </x:row>
    <x:row r="39">
      <x:c r="A39" s="96" t="str">
        <x:v>中国银联or银联国际</x:v>
      </x:c>
      <x:c r="B39" s="96"/>
      <x:c r="C39" s="97"/>
    </x:row>
    <x:row r="40">
      <x:c r="A40" s="96" t="str">
        <x:v>CCBC城银清算</x:v>
      </x:c>
      <x:c r="B40" s="96" t="str">
        <x:v>清算组织和国内支付清算金融基础设施建设，服务城商行等中小金融机构，去年貌似招人不多</x:v>
      </x:c>
      <x:c r="C40" s="97" t="str">
        <x:v>去年秋招11-26，然后1-10线下笔试</x:v>
      </x:c>
    </x:row>
    <x:row r="41">
      <x:c r="A41" s="96" t="str">
        <x:v>CIPS</x:v>
      </x:c>
      <x:c r="B41" s="96" t="str">
        <x:v>跨境清算，人民币跨境支付，秋招很难</x:v>
      </x:c>
      <x:c r="C41" s="97"/>
    </x:row>
    <x:row r="42">
      <x:c r="A42" s="96" t="str">
        <x:v>上海清算所</x:v>
      </x:c>
      <x:c r="B42" s="96" t="str">
        <x:v>银行间市场清算所，暑期默剧，彩票</x:v>
      </x:c>
      <x:c r="C42" s="97"/>
    </x:row>
    <x:row r="43">
      <x:c r="A43" s="96" t="str">
        <x:v>中债登</x:v>
      </x:c>
      <x:c r="B43" s="96" t="str">
        <x:v>炒鸡难，彩票</x:v>
      </x:c>
      <x:c r="C43" s="97"/>
    </x:row>
    <x:row r="44">
      <x:c r="A44" s="96" t="str">
        <x:v>外汇交易中心</x:v>
      </x:c>
      <x:c r="B44" s="96" t="str">
        <x:v>同业拆借中心，CIPS境外行接入</x:v>
      </x:c>
      <x:c r="C44" s="97"/>
    </x:row>
    <x:row r="45">
      <x:c r="A45" s="96" t="str">
        <x:v>外管局</x:v>
      </x:c>
      <x:c r="B45" s="96"/>
      <x:c r="C45" s="97"/>
    </x:row>
    <x:row r="46">
      <x:c r="A46" s="96" t="str">
        <x:v>上交所</x:v>
      </x:c>
      <x:c r="B46" s="96" t="str">
        <x:v>彩票</x:v>
      </x:c>
      <x:c r="C46" s="97"/>
    </x:row>
    <x:row r="47">
      <x:c r="A47" s="96" t="str">
        <x:v>中国证券登记结算公司</x:v>
      </x:c>
      <x:c r="B47" s="96" t="str">
        <x:v>跨境证券交易登记清算</x:v>
      </x:c>
      <x:c r="C47" s="97"/>
    </x:row>
    <x:row r="48">
      <x:c r="A48" s="96" t="str">
        <x:v>金租，保险资管</x:v>
      </x:c>
      <x:c r="B48" s="96" t="str">
        <x:v>可以问问要不要投</x:v>
      </x:c>
      <x:c r="C48" s="97"/>
    </x:row>
    <x:row r="49">
      <x:c r="A49" s="96" t="str">
        <x:v>私企</x:v>
      </x:c>
      <x:c r="B49" s="96"/>
      <x:c r="C49" s="97"/>
    </x:row>
    <x:row r="50">
      <x:c r="A50" s="96" t="str">
        <x:v>pingpong</x:v>
      </x:c>
      <x:c r="B50" s="96" t="str">
        <x:v>不确定是否在上海</x:v>
      </x:c>
      <x:c r="C50" s="97"/>
    </x:row>
    <x:row r="51">
      <x:c r="A51" s="96" t="str">
        <x:v>xtransfer</x:v>
      </x:c>
      <x:c r="B51" s="96" t="str">
        <x:v>强推，看一下岗位是啥</x:v>
      </x:c>
      <x:c r="C51" s="97"/>
    </x:row>
    <x:row r="52">
      <x:c r="A52" s="96" t="str">
        <x:v>payermax</x:v>
      </x:c>
      <x:c r="B52" s="96" t="str">
        <x:v>强推，有HR微信，暑期嫌稳定性不够</x:v>
      </x:c>
      <x:c r="C52" s="97"/>
    </x:row>
    <x:row r="53">
      <x:c r="A53" s="96" t="str">
        <x:v>ipaylinks</x:v>
      </x:c>
      <x:c r="B53" s="96"/>
      <x:c r="C53" s="97"/>
    </x:row>
    <x:row r="54">
      <x:c r="A54" s="96" t="str">
        <x:v>万里汇</x:v>
      </x:c>
      <x:c r="B54" s="96" t="str">
        <x:v>不确定是否秋招</x:v>
      </x:c>
      <x:c r="C54" s="97"/>
    </x:row>
    <x:row r="55">
      <x:c r="A55" s="96" t="str">
        <x:v>寻汇</x:v>
      </x:c>
      <x:c r="B55" s="96" t="str">
        <x:v>不确定是否秋招</x:v>
      </x:c>
      <x:c r="C55" s="97"/>
    </x:row>
    <x:row r="56">
      <x:c r="A56" s="96" t="str">
        <x:v>网商银行</x:v>
      </x:c>
      <x:c r="B56" s="96"/>
      <x:c r="C56" s="97"/>
    </x:row>
    <x:row r="57">
      <x:c r="A57" s="96" t="str">
        <x:v>微众银行</x:v>
      </x:c>
      <x:c r="B57" s="96"/>
      <x:c r="C57" s="97"/>
    </x:row>
    <x:row r="58">
      <x:c r="A58" s="96" t="str">
        <x:v>lianlian</x:v>
      </x:c>
      <x:c r="B58" s="96" t="str">
        <x:v>看是否在上海</x:v>
      </x:c>
      <x:c r="C58" s="97"/>
    </x:row>
    <x:row r="59">
      <x:c r="A59" s="96" t="str">
        <x:v>拉卡拉</x:v>
      </x:c>
      <x:c r="B59" s="96"/>
      <x:c r="C59" s="97"/>
    </x:row>
    <x:row r="60">
      <x:c r="A60" s="96" t="str">
        <x:v>银行</x:v>
      </x:c>
      <x:c r="B60" s="96"/>
      <x:c r="C60" s="97"/>
    </x:row>
    <x:row r="61">
      <x:c r="A61" s="96" t="str">
        <x:v>浦银理财</x:v>
      </x:c>
      <x:c r="B61" s="96"/>
      <x:c r="C61" s="97"/>
    </x:row>
    <x:row r="62">
      <x:c r="A62" s="96" t="str">
        <x:v>平安理财</x:v>
      </x:c>
      <x:c r="B62" s="96" t="str">
        <x:v>彩票</x:v>
      </x:c>
      <x:c r="C62" s="97"/>
    </x:row>
    <x:row r="63">
      <x:c r="A63" s="96" t="str">
        <x:v>南银法巴消金</x:v>
      </x:c>
      <x:c r="B63" s="96" t="str">
        <x:v>不确定是否在上海</x:v>
      </x:c>
      <x:c r="C63" s="97"/>
    </x:row>
    <x:row r="64">
      <x:c r="A64" s="96" t="str">
        <x:v>中银消金</x:v>
      </x:c>
      <x:c r="B64" s="96"/>
      <x:c r="C64" s="97"/>
    </x:row>
    <x:row r="65">
      <x:c r="A65" s="96" t="str">
        <x:v>兴业消金</x:v>
      </x:c>
      <x:c r="B65" s="96" t="str">
        <x:v>暑期没消息，但是是行业头部</x:v>
      </x:c>
      <x:c r="C65" s="97"/>
    </x:row>
    <x:row r="66">
      <x:c r="A66" s="96" t="str">
        <x:v>兴业理财</x:v>
      </x:c>
      <x:c r="B66" s="96" t="str">
        <x:v>暑期没消息，彩票</x:v>
      </x:c>
      <x:c r="C66" s="97"/>
    </x:row>
    <x:row r="67">
      <x:c r="A67" s="96" t="str">
        <x:v>宁银消金</x:v>
      </x:c>
      <x:c r="B67" s="96" t="str">
        <x:v>公司很好，不确定是否在上海</x:v>
      </x:c>
      <x:c r="C67" s="97"/>
    </x:row>
    <x:row r="68">
      <x:c r="A68" s="96" t="str">
        <x:v>上海农商行</x:v>
      </x:c>
      <x:c r="B68" s="96" t="str">
        <x:v>看岗位，注意理财是没有牌照的老大</x:v>
      </x:c>
      <x:c r="C68" s="97"/>
    </x:row>
    <x:row r="69">
      <x:c r="A69" s="96" t="str">
        <x:v>光大子公司？</x:v>
      </x:c>
      <x:c r="B69" s="96"/>
      <x:c r="C69" s="97"/>
    </x:row>
    <x:row r="70">
      <x:c r="A70" s="98" t="str">
        <x:v>AMC</x:v>
      </x:c>
      <x:c r="B70" s="98" t="str">
        <x:v>天宝强推</x:v>
      </x:c>
      <x:c r="C70" s="99"/>
    </x:row>
  </x:sheetData>
  <x:mergeCells>
    <x:mergeCell ref="A1:F1"/>
    <x:mergeCell ref="A2:F2"/>
    <x:mergeCell ref="A4:F4"/>
    <x:mergeCell ref="A21:F21"/>
    <x:mergeCell ref="A36:F36"/>
  </x:mergeCells>
  <x:pageMargins left="0.7" right="0.7" top="0.75" bottom="0.75" header="0.3" footer="0.3"/>
</x:worksheet>
</file>